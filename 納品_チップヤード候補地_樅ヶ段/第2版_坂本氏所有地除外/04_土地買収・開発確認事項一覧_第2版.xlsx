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事項一覧" sheetId="1" state="visible" r:id="rId1"/>
    <sheet xmlns:r="http://schemas.openxmlformats.org/officeDocument/2006/relationships" name="影響分析（第2版）" sheetId="2" state="visible" r:id="rId2"/>
    <sheet xmlns:r="http://schemas.openxmlformats.org/officeDocument/2006/relationships" name="今後の協議事項（第2版）" sheetId="3" state="visible" r:id="rId3"/>
    <sheet xmlns:r="http://schemas.openxmlformats.org/officeDocument/2006/relationships" name="地番一覧（図面読取）" sheetId="4" state="visible" r:id="rId4"/>
    <sheet xmlns:r="http://schemas.openxmlformats.org/officeDocument/2006/relationships" name="収支検討シート（入力用）" sheetId="5" state="visible" r:id="rId5"/>
    <sheet xmlns:r="http://schemas.openxmlformats.org/officeDocument/2006/relationships" name="撤退条件・判断基準" sheetId="6" state="visible" r:id="rId6"/>
  </sheets>
  <definedNames>
    <definedName name="_xlnm._FilterDatabase" localSheetId="0" hidden="1">'確認事項一覧'!$A$2:$K$45</definedName>
    <definedName name="_xlnm._FilterDatabase" localSheetId="1" hidden="1">'影響分析（第2版）'!$A$2:$G$17</definedName>
    <definedName name="_xlnm._FilterDatabase" localSheetId="2" hidden="1">'今後の協議事項（第2版）'!$A$2:$I$11</definedName>
    <definedName name="_xlnm._FilterDatabase" localSheetId="3" hidden="1">'地番一覧（図面読取）'!$A$2:$N$59</definedName>
    <definedName name="_xlnm._FilterDatabase" localSheetId="5" hidden="1">'撤退条件・判断基準'!$A$2:$F$8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#,##0.0"/>
  </numFmts>
  <fonts count="7">
    <font>
      <name val="Calibri"/>
      <family val="2"/>
      <color theme="1"/>
      <sz val="11"/>
      <scheme val="minor"/>
    </font>
    <font>
      <name val="Yu Gothic"/>
      <b val="1"/>
      <color rgb="001F4D3A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</font>
    <font>
      <name val="Yu Gothic"/>
      <b val="1"/>
      <color rgb="001F4D3A"/>
      <sz val="13"/>
    </font>
    <font>
      <name val="Yu Gothic"/>
      <b val="1"/>
      <sz val="10"/>
    </font>
  </fonts>
  <fills count="11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FF6E5"/>
      </patternFill>
    </fill>
    <fill>
      <patternFill patternType="solid">
        <fgColor rgb="00FDECEA"/>
      </patternFill>
    </fill>
    <fill>
      <patternFill patternType="solid">
        <fgColor rgb="00FFF6D6"/>
      </patternFill>
    </fill>
    <fill>
      <patternFill patternType="solid">
        <fgColor rgb="00E6F4EA"/>
      </patternFill>
    </fill>
    <fill>
      <patternFill patternType="solid">
        <fgColor rgb="00EEEEEE"/>
      </patternFill>
    </fill>
    <fill>
      <patternFill patternType="solid">
        <fgColor rgb="00F8C9C4"/>
      </patternFill>
    </fill>
    <fill>
      <patternFill patternType="solid">
        <fgColor rgb="00FFE9A8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9D1CD"/>
      </left>
      <right style="thin">
        <color rgb="00C9D1CD"/>
      </right>
      <top style="thin">
        <color rgb="00C9D1CD"/>
      </top>
      <bottom style="thin">
        <color rgb="00C9D1C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3" fontId="6" fillId="3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DECEA"/>
        </patternFill>
      </fill>
    </dxf>
    <dxf>
      <fill>
        <patternFill patternType="solid">
          <fgColor rgb="00DFF0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46" customWidth="1" min="4" max="4"/>
    <col width="16" customWidth="1" min="5" max="5"/>
    <col width="14" customWidth="1" min="6" max="6"/>
    <col width="30" customWidth="1" min="7" max="7"/>
    <col width="10" customWidth="1" min="8" max="8"/>
    <col width="11" customWidth="1" min="9" max="9"/>
    <col width="40" customWidth="1" min="10" max="10"/>
    <col width="11" customWidth="1" min="11" max="11"/>
  </cols>
  <sheetData>
    <row r="1">
      <c r="A1" s="1" t="inlineStr">
        <is>
          <t>土地買収・開発 確認事項一覧（第2版）　（黄色欄に記入して更新してください）</t>
        </is>
      </c>
    </row>
    <row r="2">
      <c r="A2" s="2" t="inlineStr">
        <is>
          <t>No</t>
        </is>
      </c>
      <c r="B2" s="2" t="inlineStr">
        <is>
          <t>区分</t>
        </is>
      </c>
      <c r="C2" s="2" t="inlineStr">
        <is>
          <t>確認項目</t>
        </is>
      </c>
      <c r="D2" s="2" t="inlineStr">
        <is>
          <t>現時点の情報</t>
        </is>
      </c>
      <c r="E2" s="2" t="inlineStr">
        <is>
          <t>根拠・出典</t>
        </is>
      </c>
      <c r="F2" s="2" t="inlineStr">
        <is>
          <t>状態</t>
        </is>
      </c>
      <c r="G2" s="2" t="inlineStr">
        <is>
          <t>確認先・方法</t>
        </is>
      </c>
      <c r="H2" s="2" t="inlineStr">
        <is>
          <t>担当</t>
        </is>
      </c>
      <c r="I2" s="2" t="inlineStr">
        <is>
          <t>期限</t>
        </is>
      </c>
      <c r="J2" s="2" t="inlineStr">
        <is>
          <t>結果・回答</t>
        </is>
      </c>
      <c r="K2" s="2" t="inlineStr">
        <is>
          <t>更新日</t>
        </is>
      </c>
    </row>
    <row r="3">
      <c r="A3" s="3" t="n">
        <v>1</v>
      </c>
      <c r="B3" s="3" t="inlineStr">
        <is>
          <t>第2版 変更</t>
        </is>
      </c>
      <c r="C3" s="3" t="inlineStr">
        <is>
          <t>坂本さん所有地の除外</t>
        </is>
      </c>
      <c r="D3" s="3" t="inlineStr">
        <is>
          <t>坂本さんは現時点で売却しない意向（協議上の前提。法的に取得不能と断定しない）</t>
        </is>
      </c>
      <c r="E3" s="3" t="inlineStr">
        <is>
          <t>協議</t>
        </is>
      </c>
      <c r="F3" s="3" t="inlineStr">
        <is>
          <t>方針決定要</t>
        </is>
      </c>
      <c r="G3" s="3" t="inlineStr">
        <is>
          <t>社内・坂本さん</t>
        </is>
      </c>
      <c r="H3" s="4" t="inlineStr"/>
      <c r="I3" s="5" t="inlineStr"/>
      <c r="J3" s="4" t="inlineStr"/>
      <c r="K3" s="5" t="inlineStr"/>
    </row>
    <row r="4">
      <c r="A4" s="3" t="n">
        <v>2</v>
      </c>
      <c r="B4" s="3" t="inlineStr">
        <is>
          <t>第2版 変更</t>
        </is>
      </c>
      <c r="C4" s="3" t="inlineStr">
        <is>
          <t>坂本さん所有地の範囲</t>
        </is>
      </c>
      <c r="D4" s="3" t="inlineStr">
        <is>
          <t>判読：2355-3, 2356-1, 2369-1, 2372-1, 2374、2355-2（位置不明）。可能性：2355-4, 2355-5, 2378-1, 2378-2, 東側斜面の一部</t>
        </is>
      </c>
      <c r="E4" s="3" t="inlineStr">
        <is>
          <t>図面ラベル</t>
        </is>
      </c>
      <c r="F4" s="3" t="inlineStr">
        <is>
          <t>読取のみ</t>
        </is>
      </c>
      <c r="G4" s="3" t="inlineStr">
        <is>
          <t>法務局（登記事項証明書）</t>
        </is>
      </c>
      <c r="H4" s="4" t="inlineStr"/>
      <c r="I4" s="5" t="inlineStr"/>
      <c r="J4" s="4" t="inlineStr"/>
      <c r="K4" s="5" t="inlineStr"/>
    </row>
    <row r="5">
      <c r="A5" s="3" t="n">
        <v>3</v>
      </c>
      <c r="B5" s="3" t="inlineStr">
        <is>
          <t>第2版 変更</t>
        </is>
      </c>
      <c r="C5" s="3" t="inlineStr">
        <is>
          <t>「坂本 修」名義と坂本さんの同一性・共有者</t>
        </is>
      </c>
      <c r="D5" s="3" t="inlineStr">
        <is>
          <t>図面には氏名のみ</t>
        </is>
      </c>
      <c r="E5" s="3" t="inlineStr">
        <is>
          <t>図面</t>
        </is>
      </c>
      <c r="F5" s="3" t="inlineStr">
        <is>
          <t>未確認</t>
        </is>
      </c>
      <c r="G5" s="3" t="inlineStr">
        <is>
          <t>登記・本人確認</t>
        </is>
      </c>
      <c r="H5" s="4" t="inlineStr"/>
      <c r="I5" s="5" t="inlineStr"/>
      <c r="J5" s="4" t="inlineStr"/>
      <c r="K5" s="5" t="inlineStr"/>
    </row>
    <row r="6">
      <c r="A6" s="3" t="n">
        <v>4</v>
      </c>
      <c r="B6" s="3" t="inlineStr">
        <is>
          <t>第2版 変更</t>
        </is>
      </c>
      <c r="C6" s="3" t="inlineStr">
        <is>
          <t>北段・2369-4〜7・脇道南側の所有者</t>
        </is>
      </c>
      <c r="D6" s="3" t="inlineStr">
        <is>
          <t>引出線が交錯し判読不可（坂本さん名義が含まれる可能性）</t>
        </is>
      </c>
      <c r="E6" s="3" t="inlineStr">
        <is>
          <t>図面</t>
        </is>
      </c>
      <c r="F6" s="3" t="inlineStr">
        <is>
          <t>未確認</t>
        </is>
      </c>
      <c r="G6" s="3" t="inlineStr">
        <is>
          <t>法務局</t>
        </is>
      </c>
      <c r="H6" s="4" t="inlineStr"/>
      <c r="I6" s="5" t="inlineStr"/>
      <c r="J6" s="4" t="inlineStr"/>
      <c r="K6" s="5" t="inlineStr"/>
    </row>
    <row r="7">
      <c r="A7" s="3" t="n">
        <v>5</v>
      </c>
      <c r="B7" s="3" t="inlineStr">
        <is>
          <t>第2版 変更</t>
        </is>
      </c>
      <c r="C7" s="3" t="inlineStr">
        <is>
          <t>取得検討対象の県道への接道</t>
        </is>
      </c>
      <c r="D7" s="3" t="inlineStr">
        <is>
          <t>2368は図面上、県道に直接接していない。北段または2369-4経由が必要</t>
        </is>
      </c>
      <c r="E7" s="3" t="inlineStr">
        <is>
          <t>図面</t>
        </is>
      </c>
      <c r="F7" s="3" t="inlineStr">
        <is>
          <t>要確認</t>
        </is>
      </c>
      <c r="G7" s="3" t="inlineStr">
        <is>
          <t>県土木事務所・公図</t>
        </is>
      </c>
      <c r="H7" s="4" t="inlineStr"/>
      <c r="I7" s="5" t="inlineStr"/>
      <c r="J7" s="4" t="inlineStr"/>
      <c r="K7" s="5" t="inlineStr"/>
    </row>
    <row r="8">
      <c r="A8" s="3" t="n">
        <v>6</v>
      </c>
      <c r="B8" s="3" t="inlineStr">
        <is>
          <t>第2版 変更</t>
        </is>
      </c>
      <c r="C8" s="3" t="inlineStr">
        <is>
          <t>坂本さん所有地との境界</t>
        </is>
      </c>
      <c r="D8" s="3" t="inlineStr">
        <is>
          <t>取得地と全周で接する可能性。立会いに協力が必要</t>
        </is>
      </c>
      <c r="E8" s="3" t="inlineStr">
        <is>
          <t>図面</t>
        </is>
      </c>
      <c r="F8" s="3" t="inlineStr">
        <is>
          <t>未確認</t>
        </is>
      </c>
      <c r="G8" s="3" t="inlineStr">
        <is>
          <t>土地家屋調査士・坂本さん</t>
        </is>
      </c>
      <c r="H8" s="4" t="inlineStr"/>
      <c r="I8" s="5" t="inlineStr"/>
      <c r="J8" s="4" t="inlineStr"/>
      <c r="K8" s="5" t="inlineStr"/>
    </row>
    <row r="9">
      <c r="A9" s="3" t="n">
        <v>7</v>
      </c>
      <c r="B9" s="3" t="inlineStr">
        <is>
          <t>第2版 変更</t>
        </is>
      </c>
      <c r="C9" s="3" t="inlineStr">
        <is>
          <t>坂本さん所有地を経由しない排水</t>
        </is>
      </c>
      <c r="D9" s="3" t="inlineStr">
        <is>
          <t>低い西側の多くが坂本さん所有地</t>
        </is>
      </c>
      <c r="E9" s="3" t="inlineStr">
        <is>
          <t>標高・図面</t>
        </is>
      </c>
      <c r="F9" s="3" t="inlineStr">
        <is>
          <t>未確認</t>
        </is>
      </c>
      <c r="G9" s="3" t="inlineStr">
        <is>
          <t>水路管理者・設計</t>
        </is>
      </c>
      <c r="H9" s="4" t="inlineStr"/>
      <c r="I9" s="5" t="inlineStr"/>
      <c r="J9" s="4" t="inlineStr"/>
      <c r="K9" s="5" t="inlineStr"/>
    </row>
    <row r="10">
      <c r="A10" s="3" t="n">
        <v>8</v>
      </c>
      <c r="B10" s="3" t="inlineStr">
        <is>
          <t>第2版 変更</t>
        </is>
      </c>
      <c r="C10" s="3" t="inlineStr">
        <is>
          <t>坂本さんとの今後の関係</t>
        </is>
      </c>
      <c r="D10" s="3" t="inlineStr">
        <is>
          <t>賃貸・通行承諾・境界協力の可能性は未確認</t>
        </is>
      </c>
      <c r="E10" s="3" t="inlineStr">
        <is>
          <t>協議</t>
        </is>
      </c>
      <c r="F10" s="3" t="inlineStr">
        <is>
          <t>未確認</t>
        </is>
      </c>
      <c r="G10" s="3" t="inlineStr">
        <is>
          <t>社内判断のうえ相談</t>
        </is>
      </c>
      <c r="H10" s="4" t="inlineStr"/>
      <c r="I10" s="5" t="inlineStr"/>
      <c r="J10" s="4" t="inlineStr"/>
      <c r="K10" s="5" t="inlineStr"/>
    </row>
    <row r="11">
      <c r="A11" s="3" t="n">
        <v>9</v>
      </c>
      <c r="B11" s="3" t="inlineStr">
        <is>
          <t>土地・権利</t>
        </is>
      </c>
      <c r="C11" s="3" t="inlineStr">
        <is>
          <t>取得対象地の範囲</t>
        </is>
      </c>
      <c r="D11" s="3" t="inlineStr">
        <is>
          <t>緑（2368-1〜3）＋黄のうち坂本さん名義でない筆</t>
        </is>
      </c>
      <c r="E11" s="3" t="inlineStr">
        <is>
          <t>図面</t>
        </is>
      </c>
      <c r="F11" s="3" t="inlineStr">
        <is>
          <t>未確定</t>
        </is>
      </c>
      <c r="G11" s="3" t="inlineStr">
        <is>
          <t>登記で所有者確定</t>
        </is>
      </c>
      <c r="H11" s="4" t="inlineStr"/>
      <c r="I11" s="5" t="inlineStr"/>
      <c r="J11" s="4" t="inlineStr"/>
      <c r="K11" s="5" t="inlineStr"/>
    </row>
    <row r="12">
      <c r="A12" s="3" t="n">
        <v>10</v>
      </c>
      <c r="B12" s="3" t="inlineStr">
        <is>
          <t>土地・権利</t>
        </is>
      </c>
      <c r="C12" s="3" t="inlineStr">
        <is>
          <t>土地所有者</t>
        </is>
      </c>
      <c r="D12" s="3" t="inlineStr">
        <is>
          <t>図面に氏名記載あり。地番との対応は不確実</t>
        </is>
      </c>
      <c r="E12" s="3" t="inlineStr">
        <is>
          <t>図面</t>
        </is>
      </c>
      <c r="F12" s="3" t="inlineStr">
        <is>
          <t>未確認</t>
        </is>
      </c>
      <c r="G12" s="3" t="inlineStr">
        <is>
          <t>法務局（登記事項証明書）</t>
        </is>
      </c>
      <c r="H12" s="4" t="inlineStr"/>
      <c r="I12" s="5" t="inlineStr"/>
      <c r="J12" s="4" t="inlineStr"/>
      <c r="K12" s="5" t="inlineStr"/>
    </row>
    <row r="13">
      <c r="A13" s="3" t="n">
        <v>11</v>
      </c>
      <c r="B13" s="3" t="inlineStr">
        <is>
          <t>土地・権利</t>
        </is>
      </c>
      <c r="C13" s="3" t="inlineStr">
        <is>
          <t>地番</t>
        </is>
      </c>
      <c r="D13" s="3" t="inlineStr">
        <is>
          <t>図面読取（「地番一覧」シート）</t>
        </is>
      </c>
      <c r="E13" s="3" t="inlineStr">
        <is>
          <t>図面</t>
        </is>
      </c>
      <c r="F13" s="3" t="inlineStr">
        <is>
          <t>読取のみ</t>
        </is>
      </c>
      <c r="G13" s="3" t="inlineStr">
        <is>
          <t>法務局（公図）</t>
        </is>
      </c>
      <c r="H13" s="4" t="inlineStr"/>
      <c r="I13" s="5" t="inlineStr"/>
      <c r="J13" s="4" t="inlineStr"/>
      <c r="K13" s="5" t="inlineStr"/>
    </row>
    <row r="14">
      <c r="A14" s="3" t="n">
        <v>12</v>
      </c>
      <c r="B14" s="3" t="inlineStr">
        <is>
          <t>土地・権利</t>
        </is>
      </c>
      <c r="C14" s="3" t="inlineStr">
        <is>
          <t>面積</t>
        </is>
      </c>
      <c r="D14" s="3" t="inlineStr">
        <is>
          <t>記載面積は坂本さん所有地を含む区画群の値。除外後の面積は不明</t>
        </is>
      </c>
      <c r="E14" s="3" t="inlineStr">
        <is>
          <t>図面</t>
        </is>
      </c>
      <c r="F14" s="3" t="inlineStr">
        <is>
          <t>読取のみ</t>
        </is>
      </c>
      <c r="G14" s="3" t="inlineStr">
        <is>
          <t>登記簿・地積測量図・現況測量</t>
        </is>
      </c>
      <c r="H14" s="4" t="inlineStr"/>
      <c r="I14" s="5" t="inlineStr"/>
      <c r="J14" s="4" t="inlineStr"/>
      <c r="K14" s="5" t="inlineStr"/>
    </row>
    <row r="15">
      <c r="A15" s="3" t="n">
        <v>13</v>
      </c>
      <c r="B15" s="3" t="inlineStr">
        <is>
          <t>土地・権利</t>
        </is>
      </c>
      <c r="C15" s="3" t="inlineStr">
        <is>
          <t>境界</t>
        </is>
      </c>
      <c r="D15" s="3" t="inlineStr">
        <is>
          <t>未確定</t>
        </is>
      </c>
      <c r="E15" s="3" t="inlineStr">
        <is>
          <t>―</t>
        </is>
      </c>
      <c r="F15" s="3" t="inlineStr">
        <is>
          <t>未確認</t>
        </is>
      </c>
      <c r="G15" s="3" t="inlineStr">
        <is>
          <t>土地家屋調査士・隣接所有者立会い</t>
        </is>
      </c>
      <c r="H15" s="4" t="inlineStr"/>
      <c r="I15" s="5" t="inlineStr"/>
      <c r="J15" s="4" t="inlineStr"/>
      <c r="K15" s="5" t="inlineStr"/>
    </row>
    <row r="16">
      <c r="A16" s="3" t="n">
        <v>14</v>
      </c>
      <c r="B16" s="3" t="inlineStr">
        <is>
          <t>土地・権利</t>
        </is>
      </c>
      <c r="C16" s="3" t="inlineStr">
        <is>
          <t>地目</t>
        </is>
      </c>
      <c r="D16" s="3" t="inlineStr">
        <is>
          <t>棚田の現況から「田」の可能性が高い</t>
        </is>
      </c>
      <c r="E16" s="3" t="inlineStr">
        <is>
          <t>現場写真</t>
        </is>
      </c>
      <c r="F16" s="3" t="inlineStr">
        <is>
          <t>未確認</t>
        </is>
      </c>
      <c r="G16" s="3" t="inlineStr">
        <is>
          <t>登記簿・農業委員会（農地台帳）</t>
        </is>
      </c>
      <c r="H16" s="4" t="inlineStr"/>
      <c r="I16" s="5" t="inlineStr"/>
      <c r="J16" s="4" t="inlineStr"/>
      <c r="K16" s="5" t="inlineStr"/>
    </row>
    <row r="17">
      <c r="A17" s="3" t="n">
        <v>15</v>
      </c>
      <c r="B17" s="3" t="inlineStr">
        <is>
          <t>土地・権利</t>
        </is>
      </c>
      <c r="C17" s="3" t="inlineStr">
        <is>
          <t>抵当権・賃借権等の権利</t>
        </is>
      </c>
      <c r="D17" s="3" t="inlineStr">
        <is>
          <t>不明</t>
        </is>
      </c>
      <c r="E17" s="3" t="inlineStr">
        <is>
          <t>―</t>
        </is>
      </c>
      <c r="F17" s="3" t="inlineStr">
        <is>
          <t>未確認</t>
        </is>
      </c>
      <c r="G17" s="3" t="inlineStr">
        <is>
          <t>登記事項証明書（乙区）</t>
        </is>
      </c>
      <c r="H17" s="4" t="inlineStr"/>
      <c r="I17" s="5" t="inlineStr"/>
      <c r="J17" s="4" t="inlineStr"/>
      <c r="K17" s="5" t="inlineStr"/>
    </row>
    <row r="18">
      <c r="A18" s="3" t="n">
        <v>16</v>
      </c>
      <c r="B18" s="3" t="inlineStr">
        <is>
          <t>規制</t>
        </is>
      </c>
      <c r="C18" s="3" t="inlineStr">
        <is>
          <t>農業振興地域・農用地区域</t>
        </is>
      </c>
      <c r="D18" s="3" t="inlineStr">
        <is>
          <t>不明（農用地区域なら除外手続きが先行）</t>
        </is>
      </c>
      <c r="E18" s="3" t="inlineStr">
        <is>
          <t>―</t>
        </is>
      </c>
      <c r="F18" s="3" t="inlineStr">
        <is>
          <t>未確認</t>
        </is>
      </c>
      <c r="G18" s="3" t="inlineStr">
        <is>
          <t>宍粟市 農業委員会・農林担当</t>
        </is>
      </c>
      <c r="H18" s="4" t="inlineStr"/>
      <c r="I18" s="5" t="inlineStr"/>
      <c r="J18" s="4" t="inlineStr"/>
      <c r="K18" s="5" t="inlineStr"/>
    </row>
    <row r="19">
      <c r="A19" s="3" t="n">
        <v>17</v>
      </c>
      <c r="B19" s="3" t="inlineStr">
        <is>
          <t>規制</t>
        </is>
      </c>
      <c r="C19" s="3" t="inlineStr">
        <is>
          <t>農地転用許可（農地法5条）</t>
        </is>
      </c>
      <c r="D19" s="3" t="inlineStr">
        <is>
          <t>地目が田畑なら必要</t>
        </is>
      </c>
      <c r="E19" s="3" t="inlineStr">
        <is>
          <t>法令</t>
        </is>
      </c>
      <c r="F19" s="3" t="inlineStr">
        <is>
          <t>未確認</t>
        </is>
      </c>
      <c r="G19" s="3" t="inlineStr">
        <is>
          <t>宍粟市 農業委員会</t>
        </is>
      </c>
      <c r="H19" s="4" t="inlineStr"/>
      <c r="I19" s="5" t="inlineStr"/>
      <c r="J19" s="4" t="inlineStr"/>
      <c r="K19" s="5" t="inlineStr"/>
    </row>
    <row r="20">
      <c r="A20" s="3" t="n">
        <v>18</v>
      </c>
      <c r="B20" s="3" t="inlineStr">
        <is>
          <t>規制</t>
        </is>
      </c>
      <c r="C20" s="3" t="inlineStr">
        <is>
          <t>都市計画区域・開発許可</t>
        </is>
      </c>
      <c r="D20" s="3" t="inlineStr">
        <is>
          <t>不明。合計面積1ha前後のため基準に注意</t>
        </is>
      </c>
      <c r="E20" s="3" t="inlineStr">
        <is>
          <t>―</t>
        </is>
      </c>
      <c r="F20" s="3" t="inlineStr">
        <is>
          <t>未確認</t>
        </is>
      </c>
      <c r="G20" s="3" t="inlineStr">
        <is>
          <t>宍粟市・兵庫県 開発許可担当</t>
        </is>
      </c>
      <c r="H20" s="4" t="inlineStr"/>
      <c r="I20" s="5" t="inlineStr"/>
      <c r="J20" s="4" t="inlineStr"/>
      <c r="K20" s="5" t="inlineStr"/>
    </row>
    <row r="21">
      <c r="A21" s="3" t="n">
        <v>19</v>
      </c>
      <c r="B21" s="3" t="inlineStr">
        <is>
          <t>規制</t>
        </is>
      </c>
      <c r="C21" s="3" t="inlineStr">
        <is>
          <t>森林法（林地開発許可・伐採届）</t>
        </is>
      </c>
      <c r="D21" s="3" t="inlineStr">
        <is>
          <t>黄土色区画など山林を含む場合に論点</t>
        </is>
      </c>
      <c r="E21" s="3" t="inlineStr">
        <is>
          <t>図面</t>
        </is>
      </c>
      <c r="F21" s="3" t="inlineStr">
        <is>
          <t>未確認</t>
        </is>
      </c>
      <c r="G21" s="3" t="inlineStr">
        <is>
          <t>兵庫県 林務担当・宍粟市</t>
        </is>
      </c>
      <c r="H21" s="4" t="inlineStr"/>
      <c r="I21" s="5" t="inlineStr"/>
      <c r="J21" s="4" t="inlineStr"/>
      <c r="K21" s="5" t="inlineStr"/>
    </row>
    <row r="22">
      <c r="A22" s="3" t="n">
        <v>20</v>
      </c>
      <c r="B22" s="3" t="inlineStr">
        <is>
          <t>規制</t>
        </is>
      </c>
      <c r="C22" s="3" t="inlineStr">
        <is>
          <t>土砂災害警戒区域（急傾斜地）</t>
        </is>
      </c>
      <c r="D22" s="3" t="inlineStr">
        <is>
          <t>東側に警戒区域、その東に特別警戒区域の表示</t>
        </is>
      </c>
      <c r="E22" s="3" t="inlineStr">
        <is>
          <t>重ねるハザードマップ</t>
        </is>
      </c>
      <c r="F22" s="3" t="inlineStr">
        <is>
          <t>要確認</t>
        </is>
      </c>
      <c r="G22" s="3" t="inlineStr">
        <is>
          <t>兵庫県CGハザードマップ・県土木事務所</t>
        </is>
      </c>
      <c r="H22" s="4" t="inlineStr"/>
      <c r="I22" s="5" t="inlineStr"/>
      <c r="J22" s="4" t="inlineStr"/>
      <c r="K22" s="5" t="inlineStr"/>
    </row>
    <row r="23">
      <c r="A23" s="3" t="n">
        <v>21</v>
      </c>
      <c r="B23" s="3" t="inlineStr">
        <is>
          <t>規制</t>
        </is>
      </c>
      <c r="C23" s="3" t="inlineStr">
        <is>
          <t>洪水浸水想定区域</t>
        </is>
      </c>
      <c r="D23" s="3" t="inlineStr">
        <is>
          <t>西側（県道沿い）に想定最大規模の浸水想定の表示</t>
        </is>
      </c>
      <c r="E23" s="3" t="inlineStr">
        <is>
          <t>重ねるハザードマップ</t>
        </is>
      </c>
      <c r="F23" s="3" t="inlineStr">
        <is>
          <t>要確認</t>
        </is>
      </c>
      <c r="G23" s="3" t="inlineStr">
        <is>
          <t>宍粟市防災担当・ハザードマップ</t>
        </is>
      </c>
      <c r="H23" s="4" t="inlineStr"/>
      <c r="I23" s="5" t="inlineStr"/>
      <c r="J23" s="4" t="inlineStr"/>
      <c r="K23" s="5" t="inlineStr"/>
    </row>
    <row r="24">
      <c r="A24" s="3" t="n">
        <v>22</v>
      </c>
      <c r="B24" s="3" t="inlineStr">
        <is>
          <t>規制</t>
        </is>
      </c>
      <c r="C24" s="3" t="inlineStr">
        <is>
          <t>騒音・振動規制</t>
        </is>
      </c>
      <c r="D24" s="3" t="inlineStr">
        <is>
          <t>チッパー（木材加工機械）は特定施設に該当し得る。地域指定の有無が論点</t>
        </is>
      </c>
      <c r="E24" s="3" t="inlineStr">
        <is>
          <t>法令</t>
        </is>
      </c>
      <c r="F24" s="3" t="inlineStr">
        <is>
          <t>未確認</t>
        </is>
      </c>
      <c r="G24" s="3" t="inlineStr">
        <is>
          <t>宍粟市 環境担当</t>
        </is>
      </c>
      <c r="H24" s="4" t="inlineStr"/>
      <c r="I24" s="5" t="inlineStr"/>
      <c r="J24" s="4" t="inlineStr"/>
      <c r="K24" s="5" t="inlineStr"/>
    </row>
    <row r="25">
      <c r="A25" s="3" t="n">
        <v>23</v>
      </c>
      <c r="B25" s="3" t="inlineStr">
        <is>
          <t>規制</t>
        </is>
      </c>
      <c r="C25" s="3" t="inlineStr">
        <is>
          <t>消防（指定可燃物）</t>
        </is>
      </c>
      <c r="D25" s="3" t="inlineStr">
        <is>
          <t>木くず・チップの貯蔵量により届出・基準</t>
        </is>
      </c>
      <c r="E25" s="3" t="inlineStr">
        <is>
          <t>法令</t>
        </is>
      </c>
      <c r="F25" s="3" t="inlineStr">
        <is>
          <t>未確認</t>
        </is>
      </c>
      <c r="G25" s="3" t="inlineStr">
        <is>
          <t>消防本部</t>
        </is>
      </c>
      <c r="H25" s="4" t="inlineStr"/>
      <c r="I25" s="5" t="inlineStr"/>
      <c r="J25" s="4" t="inlineStr"/>
      <c r="K25" s="5" t="inlineStr"/>
    </row>
    <row r="26">
      <c r="A26" s="3" t="n">
        <v>24</v>
      </c>
      <c r="B26" s="3" t="inlineStr">
        <is>
          <t>規制</t>
        </is>
      </c>
      <c r="C26" s="3" t="inlineStr">
        <is>
          <t>廃棄物処理法</t>
        </is>
      </c>
      <c r="D26" s="3" t="inlineStr">
        <is>
          <t>剪定枝・解体材等を受け入れると処分業許可の論点。原木・林地残材なら回避しやすい</t>
        </is>
      </c>
      <c r="E26" s="3" t="inlineStr">
        <is>
          <t>法令</t>
        </is>
      </c>
      <c r="F26" s="3" t="inlineStr">
        <is>
          <t>方針決定要</t>
        </is>
      </c>
      <c r="G26" s="3" t="inlineStr">
        <is>
          <t>兵庫県 廃棄物担当</t>
        </is>
      </c>
      <c r="H26" s="4" t="inlineStr"/>
      <c r="I26" s="5" t="inlineStr"/>
      <c r="J26" s="4" t="inlineStr"/>
      <c r="K26" s="5" t="inlineStr"/>
    </row>
    <row r="27">
      <c r="A27" s="3" t="n">
        <v>25</v>
      </c>
      <c r="B27" s="3" t="inlineStr">
        <is>
          <t>規制</t>
        </is>
      </c>
      <c r="C27" s="3" t="inlineStr">
        <is>
          <t>埋蔵文化財包蔵地</t>
        </is>
      </c>
      <c r="D27" s="3" t="inlineStr">
        <is>
          <t>未調査</t>
        </is>
      </c>
      <c r="E27" s="3" t="inlineStr">
        <is>
          <t>―</t>
        </is>
      </c>
      <c r="F27" s="3" t="inlineStr">
        <is>
          <t>未確認</t>
        </is>
      </c>
      <c r="G27" s="3" t="inlineStr">
        <is>
          <t>宍粟市教育委員会</t>
        </is>
      </c>
      <c r="H27" s="4" t="inlineStr"/>
      <c r="I27" s="5" t="inlineStr"/>
      <c r="J27" s="4" t="inlineStr"/>
      <c r="K27" s="5" t="inlineStr"/>
    </row>
    <row r="28">
      <c r="A28" s="3" t="n">
        <v>26</v>
      </c>
      <c r="B28" s="3" t="inlineStr">
        <is>
          <t>接道・交通</t>
        </is>
      </c>
      <c r="C28" s="3" t="inlineStr">
        <is>
          <t>県道の路線番号・幅員</t>
        </is>
      </c>
      <c r="D28" s="3" t="inlineStr">
        <is>
          <t>地図で県道表示。幅員未計測</t>
        </is>
      </c>
      <c r="E28" s="3" t="inlineStr">
        <is>
          <t>地理院地図・写真</t>
        </is>
      </c>
      <c r="F28" s="3" t="inlineStr">
        <is>
          <t>未確認</t>
        </is>
      </c>
      <c r="G28" s="3" t="inlineStr">
        <is>
          <t>道路台帳・現地計測</t>
        </is>
      </c>
      <c r="H28" s="4" t="inlineStr"/>
      <c r="I28" s="5" t="inlineStr"/>
      <c r="J28" s="4" t="inlineStr"/>
      <c r="K28" s="5" t="inlineStr"/>
    </row>
    <row r="29">
      <c r="A29" s="3" t="n">
        <v>27</v>
      </c>
      <c r="B29" s="3" t="inlineStr">
        <is>
          <t>接道・交通</t>
        </is>
      </c>
      <c r="C29" s="3" t="inlineStr">
        <is>
          <t>県道への乗入れ（道路法24条承認）</t>
        </is>
      </c>
      <c r="D29" s="3" t="inlineStr">
        <is>
          <t>出入口を新設する場合に必要</t>
        </is>
      </c>
      <c r="E29" s="3" t="inlineStr">
        <is>
          <t>法令</t>
        </is>
      </c>
      <c r="F29" s="3" t="inlineStr">
        <is>
          <t>未確認</t>
        </is>
      </c>
      <c r="G29" s="3" t="inlineStr">
        <is>
          <t>兵庫県 土木事務所</t>
        </is>
      </c>
      <c r="H29" s="4" t="inlineStr"/>
      <c r="I29" s="5" t="inlineStr"/>
      <c r="J29" s="4" t="inlineStr"/>
      <c r="K29" s="5" t="inlineStr"/>
    </row>
    <row r="30">
      <c r="A30" s="3" t="n">
        <v>28</v>
      </c>
      <c r="B30" s="3" t="inlineStr">
        <is>
          <t>接道・交通</t>
        </is>
      </c>
      <c r="C30" s="3" t="inlineStr">
        <is>
          <t>大型車の通行条件（重量・高さ・カーブ）</t>
        </is>
      </c>
      <c r="D30" s="3" t="inlineStr">
        <is>
          <t>未確認</t>
        </is>
      </c>
      <c r="E30" s="3" t="inlineStr">
        <is>
          <t>―</t>
        </is>
      </c>
      <c r="F30" s="3" t="inlineStr">
        <is>
          <t>未確認</t>
        </is>
      </c>
      <c r="G30" s="3" t="inlineStr">
        <is>
          <t>道路管理者・現地走行確認</t>
        </is>
      </c>
      <c r="H30" s="4" t="inlineStr"/>
      <c r="I30" s="5" t="inlineStr"/>
      <c r="J30" s="4" t="inlineStr"/>
      <c r="K30" s="5" t="inlineStr"/>
    </row>
    <row r="31">
      <c r="A31" s="3" t="n">
        <v>29</v>
      </c>
      <c r="B31" s="3" t="inlineStr">
        <is>
          <t>接道・交通</t>
        </is>
      </c>
      <c r="C31" s="3" t="inlineStr">
        <is>
          <t>脇道の種別・幅員</t>
        </is>
      </c>
      <c r="D31" s="3" t="inlineStr">
        <is>
          <t>舗装の狭い道。大型車は不適の可能性</t>
        </is>
      </c>
      <c r="E31" s="3" t="inlineStr">
        <is>
          <t>写真</t>
        </is>
      </c>
      <c r="F31" s="3" t="inlineStr">
        <is>
          <t>未確認</t>
        </is>
      </c>
      <c r="G31" s="3" t="inlineStr">
        <is>
          <t>宍粟市 道路担当</t>
        </is>
      </c>
      <c r="H31" s="4" t="inlineStr"/>
      <c r="I31" s="5" t="inlineStr"/>
      <c r="J31" s="4" t="inlineStr"/>
      <c r="K31" s="5" t="inlineStr"/>
    </row>
    <row r="32">
      <c r="A32" s="3" t="n">
        <v>30</v>
      </c>
      <c r="B32" s="3" t="inlineStr">
        <is>
          <t>造成・インフラ</t>
        </is>
      </c>
      <c r="C32" s="3" t="inlineStr">
        <is>
          <t>高低差</t>
        </is>
      </c>
      <c r="D32" s="3" t="inlineStr">
        <is>
          <t>下段397.6〜400.6m／脇道東端403.0m／県道396〜400m</t>
        </is>
      </c>
      <c r="E32" s="3" t="inlineStr">
        <is>
          <t>地理院標高API</t>
        </is>
      </c>
      <c r="F32" s="3" t="inlineStr">
        <is>
          <t>確認済み（概略）</t>
        </is>
      </c>
      <c r="G32" s="3" t="inlineStr">
        <is>
          <t>現況測量で詳細化</t>
        </is>
      </c>
      <c r="H32" s="4" t="inlineStr"/>
      <c r="I32" s="5" t="inlineStr"/>
      <c r="J32" s="4" t="inlineStr"/>
      <c r="K32" s="5" t="inlineStr"/>
    </row>
    <row r="33">
      <c r="A33" s="3" t="n">
        <v>31</v>
      </c>
      <c r="B33" s="3" t="inlineStr">
        <is>
          <t>造成・インフラ</t>
        </is>
      </c>
      <c r="C33" s="3" t="inlineStr">
        <is>
          <t>造成の必要性</t>
        </is>
      </c>
      <c r="D33" s="3" t="inlineStr">
        <is>
          <t>棚田の石積み段差が複数</t>
        </is>
      </c>
      <c r="E33" s="3" t="inlineStr">
        <is>
          <t>写真</t>
        </is>
      </c>
      <c r="F33" s="3" t="inlineStr">
        <is>
          <t>確認済み（概略）</t>
        </is>
      </c>
      <c r="G33" s="3" t="inlineStr">
        <is>
          <t>概略造成設計・見積</t>
        </is>
      </c>
      <c r="H33" s="4" t="inlineStr"/>
      <c r="I33" s="5" t="inlineStr"/>
      <c r="J33" s="4" t="inlineStr"/>
      <c r="K33" s="5" t="inlineStr"/>
    </row>
    <row r="34">
      <c r="A34" s="3" t="n">
        <v>32</v>
      </c>
      <c r="B34" s="3" t="inlineStr">
        <is>
          <t>造成・インフラ</t>
        </is>
      </c>
      <c r="C34" s="3" t="inlineStr">
        <is>
          <t>地盤</t>
        </is>
      </c>
      <c r="D34" s="3" t="inlineStr">
        <is>
          <t>元水田とみられる</t>
        </is>
      </c>
      <c r="E34" s="3" t="inlineStr">
        <is>
          <t>現況</t>
        </is>
      </c>
      <c r="F34" s="3" t="inlineStr">
        <is>
          <t>未確認</t>
        </is>
      </c>
      <c r="G34" s="3" t="inlineStr">
        <is>
          <t>地盤調査</t>
        </is>
      </c>
      <c r="H34" s="4" t="inlineStr"/>
      <c r="I34" s="5" t="inlineStr"/>
      <c r="J34" s="4" t="inlineStr"/>
      <c r="K34" s="5" t="inlineStr"/>
    </row>
    <row r="35">
      <c r="A35" s="3" t="n">
        <v>33</v>
      </c>
      <c r="B35" s="3" t="inlineStr">
        <is>
          <t>造成・インフラ</t>
        </is>
      </c>
      <c r="C35" s="3" t="inlineStr">
        <is>
          <t>排水条件</t>
        </is>
      </c>
      <c r="D35" s="3" t="inlineStr">
        <is>
          <t>北段と中段の間の水路に流水あり。新2案は横断（暗渠・橋）が必要</t>
        </is>
      </c>
      <c r="E35" s="3" t="inlineStr">
        <is>
          <t>写真</t>
        </is>
      </c>
      <c r="F35" s="3" t="inlineStr">
        <is>
          <t>確認済み（現況）</t>
        </is>
      </c>
      <c r="G35" s="3" t="inlineStr">
        <is>
          <t>水路管理者・水利組合と放流・横断協議</t>
        </is>
      </c>
      <c r="H35" s="4" t="inlineStr"/>
      <c r="I35" s="5" t="inlineStr"/>
      <c r="J35" s="4" t="inlineStr"/>
      <c r="K35" s="5" t="inlineStr"/>
    </row>
    <row r="36">
      <c r="A36" s="3" t="n">
        <v>34</v>
      </c>
      <c r="B36" s="3" t="inlineStr">
        <is>
          <t>造成・インフラ</t>
        </is>
      </c>
      <c r="C36" s="3" t="inlineStr">
        <is>
          <t>電力設備</t>
        </is>
      </c>
      <c r="D36" s="3" t="inlineStr">
        <is>
          <t>県道沿いに配電線・変圧器付き電柱</t>
        </is>
      </c>
      <c r="E36" s="3" t="inlineStr">
        <is>
          <t>写真</t>
        </is>
      </c>
      <c r="F36" s="3" t="inlineStr">
        <is>
          <t>確認済み（現況）</t>
        </is>
      </c>
      <c r="G36" s="3" t="inlineStr">
        <is>
          <t>電力会社（動力引込の可否・容量）</t>
        </is>
      </c>
      <c r="H36" s="4" t="inlineStr"/>
      <c r="I36" s="5" t="inlineStr"/>
      <c r="J36" s="4" t="inlineStr"/>
      <c r="K36" s="5" t="inlineStr"/>
    </row>
    <row r="37">
      <c r="A37" s="3" t="n">
        <v>35</v>
      </c>
      <c r="B37" s="3" t="inlineStr">
        <is>
          <t>造成・インフラ</t>
        </is>
      </c>
      <c r="C37" s="3" t="inlineStr">
        <is>
          <t>上空電線</t>
        </is>
      </c>
      <c r="D37" s="3" t="inlineStr">
        <is>
          <t>敷地上空を横断</t>
        </is>
      </c>
      <c r="E37" s="3" t="inlineStr">
        <is>
          <t>写真</t>
        </is>
      </c>
      <c r="F37" s="3" t="inlineStr">
        <is>
          <t>確認済み（現況）</t>
        </is>
      </c>
      <c r="G37" s="3" t="inlineStr">
        <is>
          <t>高さ計測・移設協議</t>
        </is>
      </c>
      <c r="H37" s="4" t="inlineStr"/>
      <c r="I37" s="5" t="inlineStr"/>
      <c r="J37" s="4" t="inlineStr"/>
      <c r="K37" s="5" t="inlineStr"/>
    </row>
    <row r="38">
      <c r="A38" s="3" t="n">
        <v>36</v>
      </c>
      <c r="B38" s="3" t="inlineStr">
        <is>
          <t>周辺環境</t>
        </is>
      </c>
      <c r="C38" s="3" t="inlineStr">
        <is>
          <t>周辺住宅との距離</t>
        </is>
      </c>
      <c r="D38" s="3" t="inlineStr">
        <is>
          <t>東側住宅まで約40m（概算）。新1・2案の破砕機位置からは約100m（図上概略）</t>
        </is>
      </c>
      <c r="E38" s="3" t="inlineStr">
        <is>
          <t>航空写真計測</t>
        </is>
      </c>
      <c r="F38" s="3" t="inlineStr">
        <is>
          <t>確認済み（概算）</t>
        </is>
      </c>
      <c r="G38" s="3" t="inlineStr">
        <is>
          <t>実測・近隣説明</t>
        </is>
      </c>
      <c r="H38" s="4" t="inlineStr"/>
      <c r="I38" s="5" t="inlineStr"/>
      <c r="J38" s="4" t="inlineStr"/>
      <c r="K38" s="5" t="inlineStr"/>
    </row>
    <row r="39">
      <c r="A39" s="3" t="n">
        <v>37</v>
      </c>
      <c r="B39" s="3" t="inlineStr">
        <is>
          <t>周辺環境</t>
        </is>
      </c>
      <c r="C39" s="3" t="inlineStr">
        <is>
          <t>騒音対策</t>
        </is>
      </c>
      <c r="D39" s="3" t="inlineStr">
        <is>
          <t>―</t>
        </is>
      </c>
      <c r="E39" s="3" t="inlineStr">
        <is>
          <t>―</t>
        </is>
      </c>
      <c r="F39" s="3" t="inlineStr">
        <is>
          <t>未検討</t>
        </is>
      </c>
      <c r="G39" s="3" t="inlineStr">
        <is>
          <t>機種選定・防音壁・操業時間</t>
        </is>
      </c>
      <c r="H39" s="4" t="inlineStr"/>
      <c r="I39" s="5" t="inlineStr"/>
      <c r="J39" s="4" t="inlineStr"/>
      <c r="K39" s="5" t="inlineStr"/>
    </row>
    <row r="40">
      <c r="A40" s="3" t="n">
        <v>38</v>
      </c>
      <c r="B40" s="3" t="inlineStr">
        <is>
          <t>周辺環境</t>
        </is>
      </c>
      <c r="C40" s="3" t="inlineStr">
        <is>
          <t>粉じん対策</t>
        </is>
      </c>
      <c r="D40" s="3" t="inlineStr">
        <is>
          <t>―</t>
        </is>
      </c>
      <c r="E40" s="3" t="inlineStr">
        <is>
          <t>―</t>
        </is>
      </c>
      <c r="F40" s="3" t="inlineStr">
        <is>
          <t>未検討</t>
        </is>
      </c>
      <c r="G40" s="3" t="inlineStr">
        <is>
          <t>散水・囲い・屋根</t>
        </is>
      </c>
      <c r="H40" s="4" t="inlineStr"/>
      <c r="I40" s="5" t="inlineStr"/>
      <c r="J40" s="4" t="inlineStr"/>
      <c r="K40" s="5" t="inlineStr"/>
    </row>
    <row r="41">
      <c r="A41" s="3" t="n">
        <v>39</v>
      </c>
      <c r="B41" s="3" t="inlineStr">
        <is>
          <t>周辺環境</t>
        </is>
      </c>
      <c r="C41" s="3" t="inlineStr">
        <is>
          <t>火災対策（自然発火含む）</t>
        </is>
      </c>
      <c r="D41" s="3" t="inlineStr">
        <is>
          <t>―</t>
        </is>
      </c>
      <c r="E41" s="3" t="inlineStr">
        <is>
          <t>―</t>
        </is>
      </c>
      <c r="F41" s="3" t="inlineStr">
        <is>
          <t>未検討</t>
        </is>
      </c>
      <c r="G41" s="3" t="inlineStr">
        <is>
          <t>温度管理・はい高さ・防火水槽</t>
        </is>
      </c>
      <c r="H41" s="4" t="inlineStr"/>
      <c r="I41" s="5" t="inlineStr"/>
      <c r="J41" s="4" t="inlineStr"/>
      <c r="K41" s="5" t="inlineStr"/>
    </row>
    <row r="42">
      <c r="A42" s="3" t="n">
        <v>40</v>
      </c>
      <c r="B42" s="3" t="inlineStr">
        <is>
          <t>周辺環境</t>
        </is>
      </c>
      <c r="C42" s="3" t="inlineStr">
        <is>
          <t>投棄物・焼却跡</t>
        </is>
      </c>
      <c r="D42" s="3" t="inlineStr">
        <is>
          <t>脇道側溝付近に投棄物、黒い残渣</t>
        </is>
      </c>
      <c r="E42" s="3" t="inlineStr">
        <is>
          <t>写真</t>
        </is>
      </c>
      <c r="F42" s="3" t="inlineStr">
        <is>
          <t>確認済み（現況）</t>
        </is>
      </c>
      <c r="G42" s="3" t="inlineStr">
        <is>
          <t>撤去責任を契約で定める</t>
        </is>
      </c>
      <c r="H42" s="4" t="inlineStr"/>
      <c r="I42" s="5" t="inlineStr"/>
      <c r="J42" s="4" t="inlineStr"/>
      <c r="K42" s="5" t="inlineStr"/>
    </row>
    <row r="43">
      <c r="A43" s="3" t="n">
        <v>41</v>
      </c>
      <c r="B43" s="3" t="inlineStr">
        <is>
          <t>事業</t>
        </is>
      </c>
      <c r="C43" s="3" t="inlineStr">
        <is>
          <t>原料の量と調達先</t>
        </is>
      </c>
      <c r="D43" s="3" t="inlineStr">
        <is>
          <t>―</t>
        </is>
      </c>
      <c r="E43" s="3" t="inlineStr">
        <is>
          <t>―</t>
        </is>
      </c>
      <c r="F43" s="3" t="inlineStr">
        <is>
          <t>未確認</t>
        </is>
      </c>
      <c r="G43" s="3" t="inlineStr">
        <is>
          <t>自社林業・協力事業者</t>
        </is>
      </c>
      <c r="H43" s="4" t="inlineStr"/>
      <c r="I43" s="5" t="inlineStr"/>
      <c r="J43" s="4" t="inlineStr"/>
      <c r="K43" s="5" t="inlineStr"/>
    </row>
    <row r="44">
      <c r="A44" s="3" t="n">
        <v>42</v>
      </c>
      <c r="B44" s="3" t="inlineStr">
        <is>
          <t>事業</t>
        </is>
      </c>
      <c r="C44" s="3" t="inlineStr">
        <is>
          <t>チップ販売先と品質規格</t>
        </is>
      </c>
      <c r="D44" s="3" t="inlineStr">
        <is>
          <t>―</t>
        </is>
      </c>
      <c r="E44" s="3" t="inlineStr">
        <is>
          <t>―</t>
        </is>
      </c>
      <c r="F44" s="3" t="inlineStr">
        <is>
          <t>未確認</t>
        </is>
      </c>
      <c r="G44" s="3" t="inlineStr">
        <is>
          <t>バイオマス発電所等</t>
        </is>
      </c>
      <c r="H44" s="4" t="inlineStr"/>
      <c r="I44" s="5" t="inlineStr"/>
      <c r="J44" s="4" t="inlineStr"/>
      <c r="K44" s="5" t="inlineStr"/>
    </row>
    <row r="45">
      <c r="A45" s="3" t="n">
        <v>43</v>
      </c>
      <c r="B45" s="3" t="inlineStr">
        <is>
          <t>事業</t>
        </is>
      </c>
      <c r="C45" s="3" t="inlineStr">
        <is>
          <t>補助・支援制度</t>
        </is>
      </c>
      <c r="D45" s="3" t="inlineStr">
        <is>
          <t>―</t>
        </is>
      </c>
      <c r="E45" s="3" t="inlineStr">
        <is>
          <t>―</t>
        </is>
      </c>
      <c r="F45" s="3" t="inlineStr">
        <is>
          <t>未確認</t>
        </is>
      </c>
      <c r="G45" s="3" t="inlineStr">
        <is>
          <t>県・林野庁関連窓口</t>
        </is>
      </c>
      <c r="H45" s="4" t="inlineStr"/>
      <c r="I45" s="5" t="inlineStr"/>
      <c r="J45" s="4" t="inlineStr"/>
      <c r="K45" s="5" t="inlineStr"/>
    </row>
  </sheetData>
  <autoFilter ref="A2:K45"/>
  <conditionalFormatting sqref="F3:F45">
    <cfRule type="cellIs" priority="1" operator="equal" dxfId="0">
      <formula>"未確認"</formula>
    </cfRule>
    <cfRule type="cellIs" priority="2" operator="equal" dxfId="1">
      <formula>"完了"</formula>
    </cfRule>
  </conditionalFormatting>
  <dataValidations count="1">
    <dataValidation sqref="F3:F45" showDropDown="0" showInputMessage="0" showErrorMessage="0" allowBlank="1" type="list">
      <formula1>"確認済み,確認済み（概略）,確認済み（概算）,確認済み（現況）,読取のみ,推定,要確認,未確認,未検討,方針決定要,対応中,完了"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" customWidth="1" min="3" max="3"/>
    <col width="70" customWidth="1" min="4" max="4"/>
    <col width="36" customWidth="1" min="5" max="5"/>
    <col width="24" customWidth="1" min="6" max="6"/>
    <col width="11" customWidth="1" min="7" max="7"/>
  </cols>
  <sheetData>
    <row r="1">
      <c r="A1" s="1" t="inlineStr">
        <is>
          <t>坂本さん所有地を取得しない場合の影響分析　（A：大きな影響なし／B：計画変更により対応可能／C：追加調査または協議が必要）</t>
        </is>
      </c>
    </row>
    <row r="2">
      <c r="A2" s="2" t="inlineStr">
        <is>
          <t>No</t>
        </is>
      </c>
      <c r="B2" s="2" t="inlineStr">
        <is>
          <t>項目</t>
        </is>
      </c>
      <c r="C2" s="2" t="inlineStr">
        <is>
          <t>評価</t>
        </is>
      </c>
      <c r="D2" s="2" t="inlineStr">
        <is>
          <t>影響の内容</t>
        </is>
      </c>
      <c r="E2" s="2" t="inlineStr">
        <is>
          <t>必要な確認</t>
        </is>
      </c>
      <c r="F2" s="2" t="inlineStr">
        <is>
          <t>対応状況</t>
        </is>
      </c>
      <c r="G2" s="2" t="inlineStr">
        <is>
          <t>更新日</t>
        </is>
      </c>
    </row>
    <row r="3">
      <c r="A3" s="3" t="n">
        <v>1</v>
      </c>
      <c r="B3" s="3" t="inlineStr">
        <is>
          <t>利用可能な土地面積</t>
        </is>
      </c>
      <c r="C3" s="6" t="inlineStr">
        <is>
          <t>C</t>
        </is>
      </c>
      <c r="D3" s="3" t="inlineStr">
        <is>
          <t>図面記載の「2,995㎡」（中段）は坂本さん所有地を含む区画群の数値とみられ、除外後の面積は不明。中段の県道沿い（2369-1）・交差部（2372-1）・脇道沿い（2374）が除外。北段も北端（2355-3・2356-1）が除外。</t>
        </is>
      </c>
      <c r="E3" s="3" t="inlineStr">
        <is>
          <t>登記事項証明書・地積測量図、現況測量</t>
        </is>
      </c>
      <c r="F3" s="4" t="inlineStr"/>
      <c r="G3" s="4" t="inlineStr"/>
    </row>
    <row r="4">
      <c r="A4" s="3" t="n">
        <v>2</v>
      </c>
      <c r="B4" s="3" t="inlineStr">
        <is>
          <t>敷地全体の形状</t>
        </is>
      </c>
      <c r="C4" s="6" t="inlineStr">
        <is>
          <t>C</t>
        </is>
      </c>
      <c r="D4" s="3" t="inlineStr">
        <is>
          <t>中段は東側の不整形な区画（2368）に縮小。北段とは水路で分断。</t>
        </is>
      </c>
      <c r="E4" s="3" t="inlineStr">
        <is>
          <t>測量後に配置を再検討</t>
        </is>
      </c>
      <c r="F4" s="4" t="inlineStr"/>
      <c r="G4" s="4" t="inlineStr"/>
    </row>
    <row r="5">
      <c r="A5" s="3" t="n">
        <v>3</v>
      </c>
      <c r="B5" s="3" t="inlineStr">
        <is>
          <t>道路への接続</t>
        </is>
      </c>
      <c r="C5" s="6" t="inlineStr">
        <is>
          <t>C</t>
        </is>
      </c>
      <c r="D5" s="3" t="inlineStr">
        <is>
          <t>取得検討対象（2368）は図面上、県道に直接接していない。県道に接するのは北段（所有者未確認）と2369-4（所有者未確認）。第1版で想定した交差部付近の出入口は坂本さん所有地。</t>
        </is>
      </c>
      <c r="E5" s="3" t="inlineStr">
        <is>
          <t>2369-4・北段の所有者確認、県道乗入れの事前協議</t>
        </is>
      </c>
      <c r="F5" s="4" t="inlineStr"/>
      <c r="G5" s="4" t="inlineStr"/>
    </row>
    <row r="6">
      <c r="A6" s="3" t="n">
        <v>4</v>
      </c>
      <c r="B6" s="3" t="inlineStr">
        <is>
          <t>大型トラックの進入</t>
        </is>
      </c>
      <c r="C6" s="6" t="inlineStr">
        <is>
          <t>C</t>
        </is>
      </c>
      <c r="D6" s="3" t="inlineStr">
        <is>
          <t>進入は北段（新1・2案）か2369-4（新3案）経由に変更。脇道は生活道路で大型車に不適の可能性。</t>
        </is>
      </c>
      <c r="E6" s="3" t="inlineStr">
        <is>
          <t>県道幅員・乗入れ位置の現地確認、道路管理者協議</t>
        </is>
      </c>
      <c r="F6" s="4" t="inlineStr"/>
      <c r="G6" s="4" t="inlineStr"/>
    </row>
    <row r="7">
      <c r="A7" s="3" t="n">
        <v>5</v>
      </c>
      <c r="B7" s="3" t="inlineStr">
        <is>
          <t>大型車両の旋回</t>
        </is>
      </c>
      <c r="C7" s="6" t="inlineStr">
        <is>
          <t>C</t>
        </is>
      </c>
      <c r="D7" s="3" t="inlineStr">
        <is>
          <t>2368のみでは直径約25mの旋回円が収まらない可能性（図上概略）。北段なら収まる可能性があるが未測量。</t>
        </is>
      </c>
      <c r="E7" s="3" t="inlineStr">
        <is>
          <t>現況測量・車両軌跡図</t>
        </is>
      </c>
      <c r="F7" s="4" t="inlineStr"/>
      <c r="G7" s="4" t="inlineStr"/>
    </row>
    <row r="8">
      <c r="A8" s="3" t="n">
        <v>6</v>
      </c>
      <c r="B8" s="3" t="inlineStr">
        <is>
          <t>原木の保管能力</t>
        </is>
      </c>
      <c r="C8" s="7" t="inlineStr">
        <is>
          <t>B</t>
        </is>
      </c>
      <c r="D8" s="3" t="inlineStr">
        <is>
          <t>中段の下段（平坦部）が使えず減少。北段を使えば確保できる見込み（新1・2案）。</t>
        </is>
      </c>
      <c r="E8" s="3" t="inlineStr">
        <is>
          <t>原料の年間量・保管日数の確定</t>
        </is>
      </c>
      <c r="F8" s="4" t="inlineStr"/>
      <c r="G8" s="4" t="inlineStr"/>
    </row>
    <row r="9">
      <c r="A9" s="3" t="n">
        <v>7</v>
      </c>
      <c r="B9" s="3" t="inlineStr">
        <is>
          <t>チップの保管能力</t>
        </is>
      </c>
      <c r="C9" s="7" t="inlineStr">
        <is>
          <t>B</t>
        </is>
      </c>
      <c r="D9" s="3" t="inlineStr">
        <is>
          <t>中段東側（2368）を屋根付きチップ庫に充てれば確保可能（新2案）。</t>
        </is>
      </c>
      <c r="E9" s="3" t="inlineStr">
        <is>
          <t>販売量・在庫日数の確定</t>
        </is>
      </c>
      <c r="F9" s="4" t="inlineStr"/>
      <c r="G9" s="4" t="inlineStr"/>
    </row>
    <row r="10">
      <c r="A10" s="3" t="n">
        <v>8</v>
      </c>
      <c r="B10" s="3" t="inlineStr">
        <is>
          <t>破砕機の設置位置</t>
        </is>
      </c>
      <c r="C10" s="7" t="inlineStr">
        <is>
          <t>B</t>
        </is>
      </c>
      <c r="D10" s="3" t="inlineStr">
        <is>
          <t>住宅から離れた北段へ移せるため、騒音面ではむしろ有利になる可能性（東側住宅までの距離：第1版A案 約50m → 新1・2案 約100m、図上概略）。新3案は約50mで住宅に近い。</t>
        </is>
      </c>
      <c r="E10" s="3" t="inlineStr">
        <is>
          <t>機種選定・騒音予測</t>
        </is>
      </c>
      <c r="F10" s="4" t="inlineStr"/>
      <c r="G10" s="4" t="inlineStr"/>
    </row>
    <row r="11">
      <c r="A11" s="3" t="n">
        <v>9</v>
      </c>
      <c r="B11" s="3" t="inlineStr">
        <is>
          <t>重機の作業効率</t>
        </is>
      </c>
      <c r="C11" s="7" t="inlineStr">
        <is>
          <t>B</t>
        </is>
      </c>
      <c r="D11" s="3" t="inlineStr">
        <is>
          <t>新2案は北段と中段の往復が発生し効率低下。新1案は北段内で完結。</t>
        </is>
      </c>
      <c r="E11" s="3" t="inlineStr">
        <is>
          <t>作業動線の詳細検討</t>
        </is>
      </c>
      <c r="F11" s="4" t="inlineStr"/>
      <c r="G11" s="4" t="inlineStr"/>
    </row>
    <row r="12">
      <c r="A12" s="3" t="n">
        <v>10</v>
      </c>
      <c r="B12" s="3" t="inlineStr">
        <is>
          <t>造成工事</t>
        </is>
      </c>
      <c r="C12" s="6" t="inlineStr">
        <is>
          <t>C</t>
        </is>
      </c>
      <c r="D12" s="3" t="inlineStr">
        <is>
          <t>最も平坦で造成しやすい下段（坂本さん所有地）が使えない。上段・北段中心となり、段差処理・水路横断（新2案）が増える可能性。</t>
        </is>
      </c>
      <c r="E12" s="3" t="inlineStr">
        <is>
          <t>現況測量・概略造成設計</t>
        </is>
      </c>
      <c r="F12" s="4" t="inlineStr"/>
      <c r="G12" s="4" t="inlineStr"/>
    </row>
    <row r="13">
      <c r="A13" s="3" t="n">
        <v>11</v>
      </c>
      <c r="B13" s="3" t="inlineStr">
        <is>
          <t>排水計画</t>
        </is>
      </c>
      <c r="C13" s="6" t="inlineStr">
        <is>
          <t>C</t>
        </is>
      </c>
      <c r="D13" s="3" t="inlineStr">
        <is>
          <t>低い側（県道沿い・北西）の多くが対象外または要確認。坂本さん所有地を経由して放流できない可能性。</t>
        </is>
      </c>
      <c r="E13" s="3" t="inlineStr">
        <is>
          <t>放流先・水路管理者との協議</t>
        </is>
      </c>
      <c r="F13" s="4" t="inlineStr"/>
      <c r="G13" s="4" t="inlineStr"/>
    </row>
    <row r="14">
      <c r="A14" s="3" t="n">
        <v>12</v>
      </c>
      <c r="B14" s="3" t="inlineStr">
        <is>
          <t>隣接地との関係</t>
        </is>
      </c>
      <c r="C14" s="6" t="inlineStr">
        <is>
          <t>C</t>
        </is>
      </c>
      <c r="D14" s="3" t="inlineStr">
        <is>
          <t>坂本さん所有地が県道と取得検討対象の間に位置する。境界確定の立会い、粉じん・騒音・排水への配慮など関係維持が重要。</t>
        </is>
      </c>
      <c r="E14" s="3" t="inlineStr">
        <is>
          <t>境界立会い、近隣説明</t>
        </is>
      </c>
      <c r="F14" s="4" t="inlineStr"/>
      <c r="G14" s="4" t="inlineStr"/>
    </row>
    <row r="15">
      <c r="A15" s="3" t="n">
        <v>13</v>
      </c>
      <c r="B15" s="3" t="inlineStr">
        <is>
          <t>今後の土地取得交渉</t>
        </is>
      </c>
      <c r="C15" s="6" t="inlineStr">
        <is>
          <t>C</t>
        </is>
      </c>
      <c r="D15" s="3" t="inlineStr">
        <is>
          <t>北段・2369-4〜7の所有者確認と交渉が計画成立の前提。坂本さんとは売買以外（賃貸・通行承諾・境界協力）の可能性も含め丁寧に関係を継続。</t>
        </is>
      </c>
      <c r="E15" s="3" t="inlineStr">
        <is>
          <t>登記取得後、所有者リストで交渉計画</t>
        </is>
      </c>
      <c r="F15" s="4" t="inlineStr"/>
      <c r="G15" s="4" t="inlineStr"/>
    </row>
    <row r="16">
      <c r="A16" s="3" t="n">
        <v>14</v>
      </c>
      <c r="B16" s="3" t="inlineStr">
        <is>
          <t>電力の引込</t>
        </is>
      </c>
      <c r="C16" s="8" t="inlineStr">
        <is>
          <t>A</t>
        </is>
      </c>
      <c r="D16" s="3" t="inlineStr">
        <is>
          <t>配電線は県道沿いにあり（写真）、北段・中段どちらからも引込の検討は可能とみられる。容量は未確認。</t>
        </is>
      </c>
      <c r="E16" s="3" t="inlineStr">
        <is>
          <t>電力会社</t>
        </is>
      </c>
      <c r="F16" s="4" t="inlineStr"/>
      <c r="G16" s="4" t="inlineStr"/>
    </row>
    <row r="17">
      <c r="A17" s="3" t="n">
        <v>15</v>
      </c>
      <c r="B17" s="3" t="inlineStr">
        <is>
          <t>現場写真・撮影位置</t>
        </is>
      </c>
      <c r="C17" s="8" t="inlineStr">
        <is>
          <t>A</t>
        </is>
      </c>
      <c r="D17" s="3" t="inlineStr">
        <is>
          <t>写真番号・撮影位置・方向は維持。写っている土地の取得区分を追記。</t>
        </is>
      </c>
      <c r="E17" s="3" t="inlineStr">
        <is>
          <t>―</t>
        </is>
      </c>
      <c r="F17" s="4" t="inlineStr"/>
      <c r="G17" s="4" t="inlineStr"/>
    </row>
  </sheetData>
  <autoFilter ref="A2:G17"/>
  <dataValidations count="1">
    <dataValidation sqref="C3:C17" showDropDown="0" showInputMessage="0" showErrorMessage="0" allowBlank="0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4" customWidth="1" min="3" max="3"/>
    <col width="44" customWidth="1" min="4" max="4"/>
    <col width="26" customWidth="1" min="5" max="5"/>
    <col width="10" customWidth="1" min="6" max="6"/>
    <col width="11" customWidth="1" min="7" max="7"/>
    <col width="12" customWidth="1" min="8" max="8"/>
    <col width="36" customWidth="1" min="9" max="9"/>
  </cols>
  <sheetData>
    <row r="1">
      <c r="A1" s="1" t="inlineStr">
        <is>
          <t>今後の協議事項（確認できた事実／未確認事項を区別）</t>
        </is>
      </c>
    </row>
    <row r="2">
      <c r="A2" s="2" t="inlineStr">
        <is>
          <t>No</t>
        </is>
      </c>
      <c r="B2" s="2" t="inlineStr">
        <is>
          <t>協議事項</t>
        </is>
      </c>
      <c r="C2" s="2" t="inlineStr">
        <is>
          <t>確認できた事実</t>
        </is>
      </c>
      <c r="D2" s="2" t="inlineStr">
        <is>
          <t>未確認事項</t>
        </is>
      </c>
      <c r="E2" s="2" t="inlineStr">
        <is>
          <t>確認先・相手</t>
        </is>
      </c>
      <c r="F2" s="2" t="inlineStr">
        <is>
          <t>担当</t>
        </is>
      </c>
      <c r="G2" s="2" t="inlineStr">
        <is>
          <t>期限</t>
        </is>
      </c>
      <c r="H2" s="2" t="inlineStr">
        <is>
          <t>状況</t>
        </is>
      </c>
      <c r="I2" s="2" t="inlineStr">
        <is>
          <t>結果・決定事項</t>
        </is>
      </c>
    </row>
    <row r="3">
      <c r="A3" s="3" t="n">
        <v>1</v>
      </c>
      <c r="B3" s="3" t="inlineStr">
        <is>
          <t>① 取得可能な土地の範囲確定</t>
        </is>
      </c>
      <c r="C3" s="9" t="inlineStr">
        <is>
          <t>坂本さん（坂本 修 名義）の判読できる筆：2355-3, 2356-1, 2369-1, 2372-1, 2374（ほか2355-2は位置不明）。非坂本と判読できる筆：2368-1〜3</t>
        </is>
      </c>
      <c r="D3" s="10" t="inlineStr">
        <is>
          <t>北段・2369-4〜7・脇道南側の所有者。坂本さんの所有範囲の全体（引出線のみの筆）</t>
        </is>
      </c>
      <c r="E3" s="3" t="inlineStr">
        <is>
          <t>図面作成者・法務局・坂本さん</t>
        </is>
      </c>
      <c r="F3" s="4" t="inlineStr"/>
      <c r="G3" s="5" t="inlineStr"/>
      <c r="H3" s="4" t="inlineStr"/>
      <c r="I3" s="4" t="inlineStr"/>
    </row>
    <row r="4">
      <c r="A4" s="3" t="n">
        <v>2</v>
      </c>
      <c r="B4" s="3" t="inlineStr">
        <is>
          <t>② 所有者・地番・面積の確認</t>
        </is>
      </c>
      <c r="C4" s="9" t="inlineStr">
        <is>
          <t>図面の地番・記載面積（3,904/2,995/960/1,315㎡）は読取値</t>
        </is>
      </c>
      <c r="D4" s="10" t="inlineStr">
        <is>
          <t>登記上の地目・面積・名義人。「坂本 修」と協議中の坂本さんが同一人物か、共有者の有無</t>
        </is>
      </c>
      <c r="E4" s="3" t="inlineStr">
        <is>
          <t>法務局（登記事項証明書・公図）</t>
        </is>
      </c>
      <c r="F4" s="4" t="inlineStr"/>
      <c r="G4" s="5" t="inlineStr"/>
      <c r="H4" s="4" t="inlineStr"/>
      <c r="I4" s="4" t="inlineStr"/>
    </row>
    <row r="5">
      <c r="A5" s="3" t="n">
        <v>3</v>
      </c>
      <c r="B5" s="3" t="inlineStr">
        <is>
          <t>③ 土地境界の確認</t>
        </is>
      </c>
      <c r="C5" s="9" t="inlineStr">
        <is>
          <t>境界は未確定</t>
        </is>
      </c>
      <c r="D5" s="10" t="inlineStr">
        <is>
          <t>坂本さん所有地との境界（取得地と接する全周）</t>
        </is>
      </c>
      <c r="E5" s="3" t="inlineStr">
        <is>
          <t>土地家屋調査士・坂本さんほか隣接者の立会い</t>
        </is>
      </c>
      <c r="F5" s="4" t="inlineStr"/>
      <c r="G5" s="5" t="inlineStr"/>
      <c r="H5" s="4" t="inlineStr"/>
      <c r="I5" s="4" t="inlineStr"/>
    </row>
    <row r="6">
      <c r="A6" s="3" t="n">
        <v>4</v>
      </c>
      <c r="B6" s="3" t="inlineStr">
        <is>
          <t>④ 大型トラックの進入経路</t>
        </is>
      </c>
      <c r="C6" s="9" t="inlineStr">
        <is>
          <t>県道・脇道に面していることは写真・地図で確認</t>
        </is>
      </c>
      <c r="D6" s="10" t="inlineStr">
        <is>
          <t>取得検討対象から県道への接道（北段・2369-4経由）、県道幅員・乗入れ可否</t>
        </is>
      </c>
      <c r="E6" s="3" t="inlineStr">
        <is>
          <t>県土木事務所、現地計測</t>
        </is>
      </c>
      <c r="F6" s="4" t="inlineStr"/>
      <c r="G6" s="5" t="inlineStr"/>
      <c r="H6" s="4" t="inlineStr"/>
      <c r="I6" s="4" t="inlineStr"/>
    </row>
    <row r="7">
      <c r="A7" s="3" t="n">
        <v>5</v>
      </c>
      <c r="B7" s="3" t="inlineStr">
        <is>
          <t>⑤ 必要な造成工事</t>
        </is>
      </c>
      <c r="C7" s="9" t="inlineStr">
        <is>
          <t>標高差：下段 約398〜401m、脇道東端 約403m（地理院）</t>
        </is>
      </c>
      <c r="D7" s="10" t="inlineStr">
        <is>
          <t>北段・上段の切盛土量、水路横断の要否、石積みの処理</t>
        </is>
      </c>
      <c r="E7" s="3" t="inlineStr">
        <is>
          <t>現況測量・概略造成設計</t>
        </is>
      </c>
      <c r="F7" s="4" t="inlineStr"/>
      <c r="G7" s="5" t="inlineStr"/>
      <c r="H7" s="4" t="inlineStr"/>
      <c r="I7" s="4" t="inlineStr"/>
    </row>
    <row r="8">
      <c r="A8" s="3" t="n">
        <v>6</v>
      </c>
      <c r="B8" s="3" t="inlineStr">
        <is>
          <t>⑥ 施設配置の実現可能性</t>
        </is>
      </c>
      <c r="C8" s="9" t="inlineStr">
        <is>
          <t>新1〜3案は概念配置</t>
        </is>
      </c>
      <c r="D8" s="10" t="inlineStr">
        <is>
          <t>取得範囲確定後の寸法・旋回軌跡・保管量の成立性</t>
        </is>
      </c>
      <c r="E8" s="3" t="inlineStr">
        <is>
          <t>測量後の配置計画</t>
        </is>
      </c>
      <c r="F8" s="4" t="inlineStr"/>
      <c r="G8" s="5" t="inlineStr"/>
      <c r="H8" s="4" t="inlineStr"/>
      <c r="I8" s="4" t="inlineStr"/>
    </row>
    <row r="9">
      <c r="A9" s="3" t="n">
        <v>7</v>
      </c>
      <c r="B9" s="3" t="inlineStr">
        <is>
          <t>⑦ 関係法令・許認可の確認</t>
        </is>
      </c>
      <c r="C9" s="9" t="inlineStr">
        <is>
          <t>―</t>
        </is>
      </c>
      <c r="D9" s="10" t="inlineStr">
        <is>
          <t>農地転用・農振、開発許可、森林法、道路法、騒音規制、消防、廃棄物</t>
        </is>
      </c>
      <c r="E9" s="3" t="inlineStr">
        <is>
          <t>宍粟市・兵庫県・消防本部</t>
        </is>
      </c>
      <c r="F9" s="4" t="inlineStr"/>
      <c r="G9" s="5" t="inlineStr"/>
      <c r="H9" s="4" t="inlineStr"/>
      <c r="I9" s="4" t="inlineStr"/>
    </row>
    <row r="10">
      <c r="A10" s="3" t="n">
        <v>8</v>
      </c>
      <c r="B10" s="3" t="inlineStr">
        <is>
          <t>⑧ 土地取得費用と造成費用</t>
        </is>
      </c>
      <c r="C10" s="9" t="inlineStr">
        <is>
          <t>根拠となる価格・見積なし（数値は作成していない）</t>
        </is>
      </c>
      <c r="D10" s="10" t="inlineStr">
        <is>
          <t>取得単価、造成・水路横断・舗装の概算</t>
        </is>
      </c>
      <c r="E10" s="3" t="inlineStr">
        <is>
          <t>所有者交渉・建設部門/外注見積</t>
        </is>
      </c>
      <c r="F10" s="4" t="inlineStr"/>
      <c r="G10" s="5" t="inlineStr"/>
      <c r="H10" s="4" t="inlineStr"/>
      <c r="I10" s="4" t="inlineStr"/>
    </row>
    <row r="11">
      <c r="A11" s="3" t="n">
        <v>9</v>
      </c>
      <c r="B11" s="3" t="inlineStr">
        <is>
          <t>⑨ 今後の交渉スケジュール</t>
        </is>
      </c>
      <c r="C11" s="9" t="inlineStr">
        <is>
          <t>坂本さんは現時点で売却しない意向（協議上の前提）</t>
        </is>
      </c>
      <c r="D11" s="10" t="inlineStr">
        <is>
          <t>北段・中段の各所有者への打診時期、坂本さんとの今後の関係（賃貸・通行承諾等の可能性）</t>
        </is>
      </c>
      <c r="E11" s="3" t="inlineStr">
        <is>
          <t>社内で担当者・期限を設定</t>
        </is>
      </c>
      <c r="F11" s="4" t="inlineStr"/>
      <c r="G11" s="5" t="inlineStr"/>
      <c r="H11" s="4" t="inlineStr"/>
      <c r="I11" s="4" t="inlineStr"/>
    </row>
  </sheetData>
  <autoFilter ref="A2:I11"/>
  <dataValidations count="1">
    <dataValidation sqref="H3:H11" showDropDown="0" showInputMessage="0" showErrorMessage="0" allowBlank="1" type="list">
      <formula1>"未着手,対応中,完了,保留"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2" customWidth="1" min="4" max="4"/>
    <col width="36" customWidth="1" min="5" max="5"/>
    <col width="26" customWidth="1" min="6" max="6"/>
    <col width="44" customWidth="1" min="7" max="7"/>
    <col width="10" customWidth="1" min="8" max="8"/>
    <col width="11" customWidth="1" min="9" max="9"/>
    <col width="16" customWidth="1" min="10" max="10"/>
    <col width="10" customWidth="1" min="11" max="11"/>
    <col width="12" customWidth="1" min="12" max="12"/>
    <col width="14" customWidth="1" min="13" max="13"/>
    <col width="24" customWidth="1" min="14" max="14"/>
  </cols>
  <sheetData>
    <row r="1">
      <c r="A1" s="1" t="inlineStr">
        <is>
          <t>地番一覧（図面読取）　（読取値は参考。登記事項証明書で必ず確定。坂本さん所有地は「対象外」を初期設定。薄黄色欄に記入）</t>
        </is>
      </c>
    </row>
    <row r="2">
      <c r="A2" s="2" t="inlineStr">
        <is>
          <t>No</t>
        </is>
      </c>
      <c r="B2" s="2" t="inlineStr">
        <is>
          <t>図面の色区分</t>
        </is>
      </c>
      <c r="C2" s="2" t="inlineStr">
        <is>
          <t>地番（読取）</t>
        </is>
      </c>
      <c r="D2" s="2" t="inlineStr">
        <is>
          <t>記載面積（読取）</t>
        </is>
      </c>
      <c r="E2" s="2" t="inlineStr">
        <is>
          <t>図面ラベル（読取）</t>
        </is>
      </c>
      <c r="F2" s="2" t="inlineStr">
        <is>
          <t>取得区分（第2版）</t>
        </is>
      </c>
      <c r="G2" s="2" t="inlineStr">
        <is>
          <t>区分の根拠</t>
        </is>
      </c>
      <c r="H2" s="2" t="inlineStr">
        <is>
          <t>登記地目</t>
        </is>
      </c>
      <c r="I2" s="2" t="inlineStr">
        <is>
          <t>登記面積(㎡)</t>
        </is>
      </c>
      <c r="J2" s="2" t="inlineStr">
        <is>
          <t>登記名義人</t>
        </is>
      </c>
      <c r="K2" s="2" t="inlineStr">
        <is>
          <t>取得対象</t>
        </is>
      </c>
      <c r="L2" s="2" t="inlineStr">
        <is>
          <t>取得方式</t>
        </is>
      </c>
      <c r="M2" s="2" t="inlineStr">
        <is>
          <t>交渉状況</t>
        </is>
      </c>
      <c r="N2" s="2" t="inlineStr">
        <is>
          <t>備考</t>
        </is>
      </c>
    </row>
    <row r="3">
      <c r="A3" s="3" t="n">
        <v>1</v>
      </c>
      <c r="B3" s="3" t="inlineStr">
        <is>
          <t>淡緑（北段）</t>
        </is>
      </c>
      <c r="C3" s="3" t="inlineStr">
        <is>
          <t>2355-2</t>
        </is>
      </c>
      <c r="D3" s="3" t="inlineStr">
        <is>
          <t>3,904㎡（区画群の記載）</t>
        </is>
      </c>
      <c r="E3" s="3" t="inlineStr">
        <is>
          <t>坂本 修 樅ヶ段2355-2（ラベルのみ）</t>
        </is>
      </c>
      <c r="F3" s="10" t="inlineStr">
        <is>
          <t>赤：坂本さん所有地（対象外）</t>
        </is>
      </c>
      <c r="G3" s="3" t="inlineStr">
        <is>
          <t>ラベル「坂本 修 樅ヶ段2355-2」（位置不明）</t>
        </is>
      </c>
      <c r="H3" s="4" t="inlineStr"/>
      <c r="I3" s="4" t="inlineStr"/>
      <c r="J3" s="4" t="inlineStr"/>
      <c r="K3" s="4" t="inlineStr">
        <is>
          <t>対象外</t>
        </is>
      </c>
      <c r="L3" s="4" t="inlineStr"/>
      <c r="M3" s="4" t="inlineStr">
        <is>
          <t>売却しない意向</t>
        </is>
      </c>
      <c r="N3" s="4" t="inlineStr"/>
    </row>
    <row r="4">
      <c r="A4" s="3" t="n">
        <v>2</v>
      </c>
      <c r="B4" s="3" t="inlineStr">
        <is>
          <t>淡緑（北段）</t>
        </is>
      </c>
      <c r="C4" s="3" t="inlineStr">
        <is>
          <t>2355-3</t>
        </is>
      </c>
      <c r="D4" s="3" t="inlineStr">
        <is>
          <t>3,904㎡（区画群の記載）</t>
        </is>
      </c>
      <c r="E4" s="3" t="inlineStr">
        <is>
          <t>坂本 修 樅ヶ段2355-3</t>
        </is>
      </c>
      <c r="F4" s="10" t="inlineStr">
        <is>
          <t>赤：坂本さん所有地（対象外）</t>
        </is>
      </c>
      <c r="G4" s="3" t="inlineStr">
        <is>
          <t>ラベル「坂本 修 樅ヶ段2355-3」を判読</t>
        </is>
      </c>
      <c r="H4" s="4" t="inlineStr"/>
      <c r="I4" s="4" t="inlineStr"/>
      <c r="J4" s="4" t="inlineStr"/>
      <c r="K4" s="4" t="inlineStr">
        <is>
          <t>対象外</t>
        </is>
      </c>
      <c r="L4" s="4" t="inlineStr"/>
      <c r="M4" s="4" t="inlineStr">
        <is>
          <t>売却しない意向</t>
        </is>
      </c>
      <c r="N4" s="4" t="inlineStr"/>
    </row>
    <row r="5">
      <c r="A5" s="3" t="n">
        <v>3</v>
      </c>
      <c r="B5" s="3" t="inlineStr">
        <is>
          <t>淡緑（北段）</t>
        </is>
      </c>
      <c r="C5" s="3" t="inlineStr">
        <is>
          <t>2355-4</t>
        </is>
      </c>
      <c r="D5" s="3" t="inlineStr">
        <is>
          <t>3,904㎡（区画群の記載）</t>
        </is>
      </c>
      <c r="E5" s="3" t="inlineStr"/>
      <c r="F5" s="11" t="inlineStr">
        <is>
          <t>黄：要確認（坂本さん所有の可能性）</t>
        </is>
      </c>
      <c r="G5" s="3" t="inlineStr">
        <is>
          <t>「坂本 修 樅ヶ段235…」の引出線がこの筆を指す。地番末尾が原図で切れて判読不可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3" t="n">
        <v>4</v>
      </c>
      <c r="B6" s="3" t="inlineStr">
        <is>
          <t>淡緑（北段）</t>
        </is>
      </c>
      <c r="C6" s="3" t="inlineStr">
        <is>
          <t>2355-5</t>
        </is>
      </c>
      <c r="D6" s="3" t="inlineStr">
        <is>
          <t>3,904㎡（区画群の記載）</t>
        </is>
      </c>
      <c r="E6" s="3" t="inlineStr"/>
      <c r="F6" s="11" t="inlineStr">
        <is>
          <t>黄：要確認（坂本さん所有の可能性）</t>
        </is>
      </c>
      <c r="G6" s="3" t="inlineStr">
        <is>
          <t>「坂本 修 樅ヶ段2355-…」の引出線がこの筆を指す。地番末尾判読不可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3" t="n">
        <v>5</v>
      </c>
      <c r="B7" s="3" t="inlineStr">
        <is>
          <t>淡緑（北段）</t>
        </is>
      </c>
      <c r="C7" s="3" t="inlineStr">
        <is>
          <t>2356</t>
        </is>
      </c>
      <c r="D7" s="3" t="inlineStr">
        <is>
          <t>3,904㎡（区画群の記載）</t>
        </is>
      </c>
      <c r="E7" s="3" t="inlineStr"/>
      <c r="F7" s="11" t="inlineStr">
        <is>
          <t>黄：要確認</t>
        </is>
      </c>
      <c r="G7" s="3" t="inlineStr">
        <is>
          <t>図面の色塗り候補区域。所有者ラベルの引出線が交錯し地番との対応が判読できない（「坂本」名の引出線が含まれる可能性あり）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3" t="n">
        <v>6</v>
      </c>
      <c r="B8" s="3" t="inlineStr">
        <is>
          <t>淡緑（北段）</t>
        </is>
      </c>
      <c r="C8" s="3" t="inlineStr">
        <is>
          <t>2356-1</t>
        </is>
      </c>
      <c r="D8" s="3" t="inlineStr">
        <is>
          <t>3,904㎡（区画群の記載）</t>
        </is>
      </c>
      <c r="E8" s="3" t="inlineStr">
        <is>
          <t>坂本 修 樅ヶ段2356-1</t>
        </is>
      </c>
      <c r="F8" s="10" t="inlineStr">
        <is>
          <t>赤：坂本さん所有地（対象外）</t>
        </is>
      </c>
      <c r="G8" s="3" t="inlineStr">
        <is>
          <t>ラベル「坂本 修 樅ヶ段2356-1」を判読</t>
        </is>
      </c>
      <c r="H8" s="4" t="inlineStr"/>
      <c r="I8" s="4" t="inlineStr"/>
      <c r="J8" s="4" t="inlineStr"/>
      <c r="K8" s="4" t="inlineStr">
        <is>
          <t>対象外</t>
        </is>
      </c>
      <c r="L8" s="4" t="inlineStr"/>
      <c r="M8" s="4" t="inlineStr">
        <is>
          <t>売却しない意向</t>
        </is>
      </c>
      <c r="N8" s="4" t="inlineStr"/>
    </row>
    <row r="9">
      <c r="A9" s="3" t="n">
        <v>7</v>
      </c>
      <c r="B9" s="3" t="inlineStr">
        <is>
          <t>淡緑（北段）</t>
        </is>
      </c>
      <c r="C9" s="3" t="inlineStr">
        <is>
          <t>2357-3</t>
        </is>
      </c>
      <c r="D9" s="3" t="inlineStr">
        <is>
          <t>3,904㎡（区画群の記載）</t>
        </is>
      </c>
      <c r="E9" s="3" t="inlineStr"/>
      <c r="F9" s="11" t="inlineStr">
        <is>
          <t>黄：要確認</t>
        </is>
      </c>
      <c r="G9" s="3" t="inlineStr">
        <is>
          <t>図面の色塗り候補区域。所有者ラベルの引出線が交錯し地番との対応が判読できない（「坂本」名の引出線が含まれる可能性あり）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3" t="n">
        <v>8</v>
      </c>
      <c r="B10" s="3" t="inlineStr">
        <is>
          <t>淡緑（北段）</t>
        </is>
      </c>
      <c r="C10" s="3" t="inlineStr">
        <is>
          <t>2359</t>
        </is>
      </c>
      <c r="D10" s="3" t="inlineStr">
        <is>
          <t>3,904㎡（区画群の記載）</t>
        </is>
      </c>
      <c r="E10" s="3" t="inlineStr"/>
      <c r="F10" s="11" t="inlineStr">
        <is>
          <t>黄：要確認</t>
        </is>
      </c>
      <c r="G10" s="3" t="inlineStr">
        <is>
          <t>図面の色塗り候補区域。所有者ラベルの引出線が交錯し地番との対応が判読できない（「坂本」名の引出線が含まれる可能性あり）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3" t="n">
        <v>9</v>
      </c>
      <c r="B11" s="3" t="inlineStr">
        <is>
          <t>淡緑（北段）</t>
        </is>
      </c>
      <c r="C11" s="3" t="inlineStr">
        <is>
          <t>2360-1</t>
        </is>
      </c>
      <c r="D11" s="3" t="inlineStr">
        <is>
          <t>3,904㎡（区画群の記載）</t>
        </is>
      </c>
      <c r="E11" s="3" t="inlineStr"/>
      <c r="F11" s="11" t="inlineStr">
        <is>
          <t>黄：要確認</t>
        </is>
      </c>
      <c r="G11" s="3" t="inlineStr">
        <is>
          <t>図面の色塗り候補区域。所有者ラベルの引出線が交錯し地番との対応が判読できない（「坂本」名の引出線が含まれる可能性あり）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3" t="n">
        <v>10</v>
      </c>
      <c r="B12" s="3" t="inlineStr">
        <is>
          <t>淡緑（北段）</t>
        </is>
      </c>
      <c r="C12" s="3" t="inlineStr">
        <is>
          <t>2360-2</t>
        </is>
      </c>
      <c r="D12" s="3" t="inlineStr">
        <is>
          <t>3,904㎡（区画群の記載）</t>
        </is>
      </c>
      <c r="E12" s="3" t="inlineStr"/>
      <c r="F12" s="11" t="inlineStr">
        <is>
          <t>黄：要確認</t>
        </is>
      </c>
      <c r="G12" s="3" t="inlineStr">
        <is>
          <t>図面の色塗り候補区域。所有者ラベルの引出線が交錯し地番との対応が判読できない（「坂本」名の引出線が含まれる可能性あり）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3" t="n">
        <v>11</v>
      </c>
      <c r="B13" s="3" t="inlineStr">
        <is>
          <t>淡緑（北段）</t>
        </is>
      </c>
      <c r="C13" s="3" t="inlineStr">
        <is>
          <t>2361</t>
        </is>
      </c>
      <c r="D13" s="3" t="inlineStr">
        <is>
          <t>3,904㎡（区画群の記載）</t>
        </is>
      </c>
      <c r="E13" s="3" t="inlineStr">
        <is>
          <t>小池一博 樅ヶ段2361…（末尾判読不可）</t>
        </is>
      </c>
      <c r="F13" s="11" t="inlineStr">
        <is>
          <t>黄：要確認</t>
        </is>
      </c>
      <c r="G13" s="3" t="inlineStr">
        <is>
          <t>図面の色塗り候補区域。所有者ラベルの引出線が交錯し地番との対応が判読できない（「坂本」名の引出線が含まれる可能性あり）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3" t="n">
        <v>12</v>
      </c>
      <c r="B14" s="3" t="inlineStr">
        <is>
          <t>淡緑（北段）</t>
        </is>
      </c>
      <c r="C14" s="3" t="inlineStr">
        <is>
          <t>2361-1</t>
        </is>
      </c>
      <c r="D14" s="3" t="inlineStr">
        <is>
          <t>3,904㎡（区画群の記載）</t>
        </is>
      </c>
      <c r="E14" s="3" t="inlineStr"/>
      <c r="F14" s="11" t="inlineStr">
        <is>
          <t>黄：要確認</t>
        </is>
      </c>
      <c r="G14" s="3" t="inlineStr">
        <is>
          <t>図面の色塗り候補区域。所有者ラベルの引出線が交錯し地番との対応が判読できない（「坂本」名の引出線が含まれる可能性あり）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3" t="n">
        <v>13</v>
      </c>
      <c r="B15" s="3" t="inlineStr">
        <is>
          <t>淡緑（北段）</t>
        </is>
      </c>
      <c r="C15" s="3" t="inlineStr">
        <is>
          <t>2362</t>
        </is>
      </c>
      <c r="D15" s="3" t="inlineStr">
        <is>
          <t>3,904㎡（区画群の記載）</t>
        </is>
      </c>
      <c r="E15" s="3" t="inlineStr"/>
      <c r="F15" s="11" t="inlineStr">
        <is>
          <t>黄：要確認</t>
        </is>
      </c>
      <c r="G15" s="3" t="inlineStr">
        <is>
          <t>図面の色塗り候補区域。所有者ラベルの引出線が交錯し地番との対応が判読できない（「坂本」名の引出線が含まれる可能性あり）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3" t="n">
        <v>14</v>
      </c>
      <c r="B16" s="3" t="inlineStr">
        <is>
          <t>淡緑（中段）</t>
        </is>
      </c>
      <c r="C16" s="3" t="inlineStr">
        <is>
          <t>2368-1</t>
        </is>
      </c>
      <c r="D16" s="3" t="inlineStr">
        <is>
          <t>2,995㎡（区画群の記載）</t>
        </is>
      </c>
      <c r="E16" s="3" t="inlineStr">
        <is>
          <t>岡崎悦也 樅ヶ段2368-1</t>
        </is>
      </c>
      <c r="F16" s="9" t="inlineStr">
        <is>
          <t>緑：取得検討対象</t>
        </is>
      </c>
      <c r="G16" s="3" t="inlineStr">
        <is>
          <t>ラベル「岡崎悦也 2368-1」「為木秀行 2368-2」「岡崎悦也 2368-3」を判読（坂本さん名義の表示なし）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3" t="n">
        <v>15</v>
      </c>
      <c r="B17" s="3" t="inlineStr">
        <is>
          <t>淡緑（中段）</t>
        </is>
      </c>
      <c r="C17" s="3" t="inlineStr">
        <is>
          <t>2368-2</t>
        </is>
      </c>
      <c r="D17" s="3" t="inlineStr">
        <is>
          <t>2,995㎡（区画群の記載）</t>
        </is>
      </c>
      <c r="E17" s="3" t="inlineStr">
        <is>
          <t>為木秀行 樅ヶ段2368-2</t>
        </is>
      </c>
      <c r="F17" s="9" t="inlineStr">
        <is>
          <t>緑：取得検討対象</t>
        </is>
      </c>
      <c r="G17" s="3" t="inlineStr">
        <is>
          <t>ラベル「岡崎悦也 2368-1」「為木秀行 2368-2」「岡崎悦也 2368-3」を判読（坂本さん名義の表示なし）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3" t="n">
        <v>16</v>
      </c>
      <c r="B18" s="3" t="inlineStr">
        <is>
          <t>淡緑（中段）</t>
        </is>
      </c>
      <c r="C18" s="3" t="inlineStr">
        <is>
          <t>2368-3</t>
        </is>
      </c>
      <c r="D18" s="3" t="inlineStr">
        <is>
          <t>2,995㎡（区画群の記載）</t>
        </is>
      </c>
      <c r="E18" s="3" t="inlineStr">
        <is>
          <t>（氏名判読不確実）樅ヶ段2368-3</t>
        </is>
      </c>
      <c r="F18" s="9" t="inlineStr">
        <is>
          <t>緑：取得検討対象</t>
        </is>
      </c>
      <c r="G18" s="3" t="inlineStr">
        <is>
          <t>ラベル「岡崎悦也 2368-1」「為木秀行 2368-2」「岡崎悦也 2368-3」を判読（坂本さん名義の表示なし）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3" t="n">
        <v>17</v>
      </c>
      <c r="B19" s="3" t="inlineStr">
        <is>
          <t>淡緑（中段）</t>
        </is>
      </c>
      <c r="C19" s="3" t="inlineStr">
        <is>
          <t>2369-1</t>
        </is>
      </c>
      <c r="D19" s="3" t="inlineStr">
        <is>
          <t>2,995㎡（区画群の記載）</t>
        </is>
      </c>
      <c r="E19" s="3" t="inlineStr">
        <is>
          <t>坂本 修 樅ヶ段2369-1</t>
        </is>
      </c>
      <c r="F19" s="10" t="inlineStr">
        <is>
          <t>赤：坂本さん所有地（対象外）</t>
        </is>
      </c>
      <c r="G19" s="3" t="inlineStr">
        <is>
          <t>ラベル「坂本 修 樅ヶ段2369-1」を判読（筆内に記載）</t>
        </is>
      </c>
      <c r="H19" s="4" t="inlineStr"/>
      <c r="I19" s="4" t="inlineStr"/>
      <c r="J19" s="4" t="inlineStr"/>
      <c r="K19" s="4" t="inlineStr">
        <is>
          <t>対象外</t>
        </is>
      </c>
      <c r="L19" s="4" t="inlineStr"/>
      <c r="M19" s="4" t="inlineStr">
        <is>
          <t>売却しない意向</t>
        </is>
      </c>
      <c r="N19" s="4" t="inlineStr"/>
    </row>
    <row r="20">
      <c r="A20" s="3" t="n">
        <v>18</v>
      </c>
      <c r="B20" s="3" t="inlineStr">
        <is>
          <t>淡緑（中段）</t>
        </is>
      </c>
      <c r="C20" s="3" t="inlineStr">
        <is>
          <t>2369-4</t>
        </is>
      </c>
      <c r="D20" s="3" t="inlineStr">
        <is>
          <t>2,995㎡（区画群の記載）</t>
        </is>
      </c>
      <c r="E20" s="3" t="inlineStr"/>
      <c r="F20" s="11" t="inlineStr">
        <is>
          <t>黄：要確認</t>
        </is>
      </c>
      <c r="G20" s="3" t="inlineStr">
        <is>
          <t>所有者ラベル判読不可。中段で県道に接する唯一の非坂本名義候補（図面読取）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3" t="n">
        <v>19</v>
      </c>
      <c r="B21" s="3" t="inlineStr">
        <is>
          <t>淡緑（中段）</t>
        </is>
      </c>
      <c r="C21" s="3" t="inlineStr">
        <is>
          <t>2369-5</t>
        </is>
      </c>
      <c r="D21" s="3" t="inlineStr">
        <is>
          <t>2,995㎡（区画群の記載）</t>
        </is>
      </c>
      <c r="E21" s="3" t="inlineStr"/>
      <c r="F21" s="11" t="inlineStr">
        <is>
          <t>黄：要確認</t>
        </is>
      </c>
      <c r="G21" s="3" t="inlineStr">
        <is>
          <t>所有者ラベル判読不可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3" t="n">
        <v>20</v>
      </c>
      <c r="B22" s="3" t="inlineStr">
        <is>
          <t>淡緑（中段）</t>
        </is>
      </c>
      <c r="C22" s="3" t="inlineStr">
        <is>
          <t>2369-6</t>
        </is>
      </c>
      <c r="D22" s="3" t="inlineStr">
        <is>
          <t>2,995㎡（区画群の記載）</t>
        </is>
      </c>
      <c r="E22" s="3" t="inlineStr"/>
      <c r="F22" s="11" t="inlineStr">
        <is>
          <t>黄：要確認</t>
        </is>
      </c>
      <c r="G22" s="3" t="inlineStr">
        <is>
          <t>所有者ラベル判読不可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3" t="n">
        <v>21</v>
      </c>
      <c r="B23" s="3" t="inlineStr">
        <is>
          <t>淡緑（中段）</t>
        </is>
      </c>
      <c r="C23" s="3" t="inlineStr">
        <is>
          <t>2369-7</t>
        </is>
      </c>
      <c r="D23" s="3" t="inlineStr">
        <is>
          <t>2,995㎡（区画群の記載）</t>
        </is>
      </c>
      <c r="E23" s="3" t="inlineStr"/>
      <c r="F23" s="11" t="inlineStr">
        <is>
          <t>黄：要確認</t>
        </is>
      </c>
      <c r="G23" s="3" t="inlineStr">
        <is>
          <t>所有者ラベル判読不可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3" t="n">
        <v>22</v>
      </c>
      <c r="B24" s="3" t="inlineStr">
        <is>
          <t>淡緑（中段）</t>
        </is>
      </c>
      <c r="C24" s="3" t="inlineStr">
        <is>
          <t>2372-1</t>
        </is>
      </c>
      <c r="D24" s="3" t="inlineStr">
        <is>
          <t>2,995㎡（区画群の記載）</t>
        </is>
      </c>
      <c r="E24" s="3" t="inlineStr">
        <is>
          <t>坂本 修 樅ヶ段2372-1</t>
        </is>
      </c>
      <c r="F24" s="10" t="inlineStr">
        <is>
          <t>赤：坂本さん所有地（対象外）</t>
        </is>
      </c>
      <c r="G24" s="3" t="inlineStr">
        <is>
          <t>ラベル「坂本 修 樅ヶ段2372-1」を判読（文字の重なりあり）</t>
        </is>
      </c>
      <c r="H24" s="4" t="inlineStr"/>
      <c r="I24" s="4" t="inlineStr"/>
      <c r="J24" s="4" t="inlineStr"/>
      <c r="K24" s="4" t="inlineStr">
        <is>
          <t>対象外</t>
        </is>
      </c>
      <c r="L24" s="4" t="inlineStr"/>
      <c r="M24" s="4" t="inlineStr">
        <is>
          <t>売却しない意向</t>
        </is>
      </c>
      <c r="N24" s="4" t="inlineStr"/>
    </row>
    <row r="25">
      <c r="A25" s="3" t="n">
        <v>23</v>
      </c>
      <c r="B25" s="3" t="inlineStr">
        <is>
          <t>淡緑（中段）</t>
        </is>
      </c>
      <c r="C25" s="3" t="inlineStr">
        <is>
          <t>2374</t>
        </is>
      </c>
      <c r="D25" s="3" t="inlineStr">
        <is>
          <t>2,995㎡（区画群の記載）</t>
        </is>
      </c>
      <c r="E25" s="3" t="inlineStr">
        <is>
          <t>坂本 修 樅ヶ段2374</t>
        </is>
      </c>
      <c r="F25" s="10" t="inlineStr">
        <is>
          <t>赤：坂本さん所有地（対象外）</t>
        </is>
      </c>
      <c r="G25" s="3" t="inlineStr">
        <is>
          <t>ラベル「坂本 修 樅ヶ段2374」を判読（筆内に記載）</t>
        </is>
      </c>
      <c r="H25" s="4" t="inlineStr"/>
      <c r="I25" s="4" t="inlineStr"/>
      <c r="J25" s="4" t="inlineStr"/>
      <c r="K25" s="4" t="inlineStr">
        <is>
          <t>対象外</t>
        </is>
      </c>
      <c r="L25" s="4" t="inlineStr"/>
      <c r="M25" s="4" t="inlineStr">
        <is>
          <t>売却しない意向</t>
        </is>
      </c>
      <c r="N25" s="4" t="inlineStr"/>
    </row>
    <row r="26">
      <c r="A26" s="3" t="n">
        <v>24</v>
      </c>
      <c r="B26" s="3" t="inlineStr">
        <is>
          <t>濃緑（脇道南）</t>
        </is>
      </c>
      <c r="C26" s="3" t="inlineStr">
        <is>
          <t>2373-1</t>
        </is>
      </c>
      <c r="D26" s="3" t="inlineStr">
        <is>
          <t>960㎡（区画群の記載）</t>
        </is>
      </c>
      <c r="E26" s="3" t="inlineStr"/>
      <c r="F26" s="11" t="inlineStr">
        <is>
          <t>黄：要確認</t>
        </is>
      </c>
      <c r="G26" s="3" t="inlineStr">
        <is>
          <t>所有者ラベル判読不可（三浦八千代・藤原正雄の引出線が付近を指すが対応不確実）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3" t="n">
        <v>25</v>
      </c>
      <c r="B27" s="3" t="inlineStr">
        <is>
          <t>濃緑（脇道南）</t>
        </is>
      </c>
      <c r="C27" s="3" t="inlineStr">
        <is>
          <t>2373-2</t>
        </is>
      </c>
      <c r="D27" s="3" t="inlineStr">
        <is>
          <t>960㎡（区画群の記載）</t>
        </is>
      </c>
      <c r="E27" s="3" t="inlineStr"/>
      <c r="F27" s="11" t="inlineStr">
        <is>
          <t>黄：要確認</t>
        </is>
      </c>
      <c r="G27" s="3" t="inlineStr">
        <is>
          <t>所有者ラベル判読不可（三浦八千代・藤原正雄の引出線が付近を指すが対応不確実）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3" t="n">
        <v>26</v>
      </c>
      <c r="B28" s="3" t="inlineStr">
        <is>
          <t>濃緑（脇道南）</t>
        </is>
      </c>
      <c r="C28" s="3" t="inlineStr">
        <is>
          <t>2378</t>
        </is>
      </c>
      <c r="D28" s="3" t="inlineStr">
        <is>
          <t>960㎡（区画群の記載）</t>
        </is>
      </c>
      <c r="E28" s="3" t="inlineStr"/>
      <c r="F28" s="11" t="inlineStr">
        <is>
          <t>黄：要確認</t>
        </is>
      </c>
      <c r="G28" s="3" t="inlineStr">
        <is>
          <t>所有者ラベル判読不可（三浦八千代・藤原正雄の引出線が付近を指すが対応不確実）</t>
        </is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3" t="n">
        <v>27</v>
      </c>
      <c r="B29" s="3" t="inlineStr">
        <is>
          <t>濃緑（脇道南）</t>
        </is>
      </c>
      <c r="C29" s="3" t="inlineStr">
        <is>
          <t>2378-3</t>
        </is>
      </c>
      <c r="D29" s="3" t="inlineStr">
        <is>
          <t>960㎡（区画群の記載）</t>
        </is>
      </c>
      <c r="E29" s="3" t="inlineStr"/>
      <c r="F29" s="11" t="inlineStr">
        <is>
          <t>黄：要確認</t>
        </is>
      </c>
      <c r="G29" s="3" t="inlineStr">
        <is>
          <t>所有者ラベル判読不可（三浦八千代・藤原正雄の引出線が付近を指すが対応不確実）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</row>
    <row r="30">
      <c r="A30" s="3" t="n">
        <v>28</v>
      </c>
      <c r="B30" s="3" t="inlineStr">
        <is>
          <t>濃緑（脇道南）</t>
        </is>
      </c>
      <c r="C30" s="3" t="inlineStr">
        <is>
          <t>2378-5</t>
        </is>
      </c>
      <c r="D30" s="3" t="inlineStr">
        <is>
          <t>960㎡（区画群の記載）</t>
        </is>
      </c>
      <c r="E30" s="3" t="inlineStr"/>
      <c r="F30" s="11" t="inlineStr">
        <is>
          <t>黄：要確認</t>
        </is>
      </c>
      <c r="G30" s="3" t="inlineStr">
        <is>
          <t>所有者ラベル判読不可（三浦八千代・藤原正雄の引出線が付近を指すが対応不確実）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3" t="n">
        <v>29</v>
      </c>
      <c r="B31" s="3" t="inlineStr">
        <is>
          <t>赤（南東）</t>
        </is>
      </c>
      <c r="C31" s="3" t="inlineStr">
        <is>
          <t>2378-1</t>
        </is>
      </c>
      <c r="D31" s="3" t="inlineStr">
        <is>
          <t>1,315㎡（区画群の記載）</t>
        </is>
      </c>
      <c r="E31" s="3" t="inlineStr">
        <is>
          <t>付近に 坂本 修／三浦八千代／藤原正雄 の記載（対応不確実）</t>
        </is>
      </c>
      <c r="F31" s="11" t="inlineStr">
        <is>
          <t>黄：要確認（坂本さん所有の可能性）</t>
        </is>
      </c>
      <c r="G31" s="3" t="inlineStr">
        <is>
          <t>「坂本 修 樅ヶ段…」の引出線2本がこの区画を指す。地番末尾が原図で切れて判読不可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3" t="n">
        <v>30</v>
      </c>
      <c r="B32" s="3" t="inlineStr">
        <is>
          <t>赤（南東）</t>
        </is>
      </c>
      <c r="C32" s="3" t="inlineStr">
        <is>
          <t>2378-2</t>
        </is>
      </c>
      <c r="D32" s="3" t="inlineStr">
        <is>
          <t>1,315㎡（区画群の記載）</t>
        </is>
      </c>
      <c r="E32" s="3" t="inlineStr">
        <is>
          <t>付近に 坂本 修／三浦八千代／藤原正雄 の記載（対応不確実）</t>
        </is>
      </c>
      <c r="F32" s="11" t="inlineStr">
        <is>
          <t>黄：要確認（坂本さん所有の可能性）</t>
        </is>
      </c>
      <c r="G32" s="3" t="inlineStr">
        <is>
          <t>「坂本 修 樅ヶ段…」の引出線2本がこの区画を指す。地番末尾が原図で切れて判読不可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3" t="n">
        <v>31</v>
      </c>
      <c r="B33" s="3" t="inlineStr">
        <is>
          <t>黄土（東側斜面）</t>
        </is>
      </c>
      <c r="C33" s="3" t="inlineStr">
        <is>
          <t>2332-34</t>
        </is>
      </c>
      <c r="D33" s="3" t="inlineStr">
        <is>
          <t>判読不可（「269㎡」の記載あり）</t>
        </is>
      </c>
      <c r="E33" s="3" t="inlineStr">
        <is>
          <t>付近に 岡崎好幸／岡崎悦也／岡崎久和／坂本／小池一… の記載（対応不確実）</t>
        </is>
      </c>
      <c r="F33" s="12" t="inlineStr">
        <is>
          <t>グレー：その他・対象外</t>
        </is>
      </c>
      <c r="G33" s="3" t="inlineStr">
        <is>
          <t>色塗り区域外または今回の施設計画で使用しない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3" t="n">
        <v>32</v>
      </c>
      <c r="B34" s="3" t="inlineStr">
        <is>
          <t>黄土（東側斜面）</t>
        </is>
      </c>
      <c r="C34" s="3" t="inlineStr">
        <is>
          <t>2363</t>
        </is>
      </c>
      <c r="D34" s="3" t="inlineStr">
        <is>
          <t>判読不可（「269㎡」の記載あり）</t>
        </is>
      </c>
      <c r="E34" s="3" t="inlineStr">
        <is>
          <t>付近に 岡崎好幸／岡崎悦也／岡崎久和／坂本／小池一… の記載（対応不確実）</t>
        </is>
      </c>
      <c r="F34" s="12" t="inlineStr">
        <is>
          <t>グレー：その他・対象外</t>
        </is>
      </c>
      <c r="G34" s="3" t="inlineStr">
        <is>
          <t>色塗り区域外または今回の施設計画で使用しない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3" t="n">
        <v>33</v>
      </c>
      <c r="B35" s="3" t="inlineStr">
        <is>
          <t>黄土（東側斜面）</t>
        </is>
      </c>
      <c r="C35" s="3" t="inlineStr">
        <is>
          <t>2364</t>
        </is>
      </c>
      <c r="D35" s="3" t="inlineStr">
        <is>
          <t>判読不可（「269㎡」の記載あり）</t>
        </is>
      </c>
      <c r="E35" s="3" t="inlineStr">
        <is>
          <t>付近に 岡崎好幸／岡崎悦也／岡崎久和／坂本／小池一… の記載（対応不確実）</t>
        </is>
      </c>
      <c r="F35" s="12" t="inlineStr">
        <is>
          <t>グレー：その他・対象外</t>
        </is>
      </c>
      <c r="G35" s="3" t="inlineStr">
        <is>
          <t>色塗り区域外または今回の施設計画で使用しない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</row>
    <row r="36">
      <c r="A36" s="3" t="n">
        <v>34</v>
      </c>
      <c r="B36" s="3" t="inlineStr">
        <is>
          <t>黄土（東側斜面）</t>
        </is>
      </c>
      <c r="C36" s="3" t="inlineStr">
        <is>
          <t>2366</t>
        </is>
      </c>
      <c r="D36" s="3" t="inlineStr">
        <is>
          <t>判読不可（「269㎡」の記載あり）</t>
        </is>
      </c>
      <c r="E36" s="3" t="inlineStr">
        <is>
          <t>付近に 岡崎好幸／岡崎悦也／岡崎久和／坂本／小池一… の記載（対応不確実）</t>
        </is>
      </c>
      <c r="F36" s="12" t="inlineStr">
        <is>
          <t>グレー：その他・対象外</t>
        </is>
      </c>
      <c r="G36" s="3" t="inlineStr">
        <is>
          <t>色塗り区域外または今回の施設計画で使用しない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3" t="n">
        <v>35</v>
      </c>
      <c r="B37" s="3" t="inlineStr">
        <is>
          <t>黄土（東側斜面）</t>
        </is>
      </c>
      <c r="C37" s="3" t="inlineStr">
        <is>
          <t>2366-1</t>
        </is>
      </c>
      <c r="D37" s="3" t="inlineStr">
        <is>
          <t>判読不可（「269㎡」の記載あり）</t>
        </is>
      </c>
      <c r="E37" s="3" t="inlineStr">
        <is>
          <t>付近に 岡崎好幸／岡崎悦也／岡崎久和／坂本／小池一… の記載（対応不確実）</t>
        </is>
      </c>
      <c r="F37" s="12" t="inlineStr">
        <is>
          <t>グレー：その他・対象外</t>
        </is>
      </c>
      <c r="G37" s="3" t="inlineStr">
        <is>
          <t>色塗り区域外または今回の施設計画で使用しない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</row>
    <row r="38">
      <c r="A38" s="3" t="n">
        <v>36</v>
      </c>
      <c r="B38" s="3" t="inlineStr">
        <is>
          <t>黄土（東側斜面）</t>
        </is>
      </c>
      <c r="C38" s="3" t="inlineStr">
        <is>
          <t>2366-2</t>
        </is>
      </c>
      <c r="D38" s="3" t="inlineStr">
        <is>
          <t>判読不可（「269㎡」の記載あり）</t>
        </is>
      </c>
      <c r="E38" s="3" t="inlineStr">
        <is>
          <t>付近に 岡崎好幸／岡崎悦也／岡崎久和／坂本／小池一… の記載（対応不確実）</t>
        </is>
      </c>
      <c r="F38" s="12" t="inlineStr">
        <is>
          <t>グレー：その他・対象外</t>
        </is>
      </c>
      <c r="G38" s="3" t="inlineStr">
        <is>
          <t>色塗り区域外または今回の施設計画で使用しない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3" t="n">
        <v>37</v>
      </c>
      <c r="B39" s="3" t="inlineStr">
        <is>
          <t>黄土（東側斜面）</t>
        </is>
      </c>
      <c r="C39" s="3" t="inlineStr">
        <is>
          <t>2367</t>
        </is>
      </c>
      <c r="D39" s="3" t="inlineStr">
        <is>
          <t>判読不可（「269㎡」の記載あり）</t>
        </is>
      </c>
      <c r="E39" s="3" t="inlineStr">
        <is>
          <t>付近に 岡崎好幸／岡崎悦也／岡崎久和／坂本／小池一… の記載（対応不確実）</t>
        </is>
      </c>
      <c r="F39" s="12" t="inlineStr">
        <is>
          <t>グレー：その他・対象外</t>
        </is>
      </c>
      <c r="G39" s="3" t="inlineStr">
        <is>
          <t>色塗り区域外または今回の施設計画で使用しない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</row>
    <row r="40">
      <c r="A40" s="3" t="n">
        <v>38</v>
      </c>
      <c r="B40" s="3" t="inlineStr">
        <is>
          <t>黄土（東側斜面）</t>
        </is>
      </c>
      <c r="C40" s="3" t="inlineStr">
        <is>
          <t>2367-1</t>
        </is>
      </c>
      <c r="D40" s="3" t="inlineStr">
        <is>
          <t>判読不可（「269㎡」の記載あり）</t>
        </is>
      </c>
      <c r="E40" s="3" t="inlineStr">
        <is>
          <t>付近に 岡崎好幸／岡崎悦也／岡崎久和／坂本／小池一… の記載（対応不確実）</t>
        </is>
      </c>
      <c r="F40" s="12" t="inlineStr">
        <is>
          <t>グレー：その他・対象外</t>
        </is>
      </c>
      <c r="G40" s="3" t="inlineStr">
        <is>
          <t>色塗り区域外または今回の施設計画で使用しない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3" t="n">
        <v>39</v>
      </c>
      <c r="B41" s="3" t="inlineStr">
        <is>
          <t>黄土（東側斜面）</t>
        </is>
      </c>
      <c r="C41" s="3" t="inlineStr">
        <is>
          <t>2375</t>
        </is>
      </c>
      <c r="D41" s="3" t="inlineStr">
        <is>
          <t>判読不可（「269㎡」の記載あり）</t>
        </is>
      </c>
      <c r="E41" s="3" t="inlineStr">
        <is>
          <t>付近に 岡崎好幸／岡崎悦也／岡崎久和／坂本／小池一… の記載（対応不確実）</t>
        </is>
      </c>
      <c r="F41" s="12" t="inlineStr">
        <is>
          <t>グレー：その他・対象外</t>
        </is>
      </c>
      <c r="G41" s="3" t="inlineStr">
        <is>
          <t>色塗り区域外または今回の施設計画で使用しない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</row>
    <row r="42">
      <c r="A42" s="3" t="n">
        <v>40</v>
      </c>
      <c r="B42" s="3" t="inlineStr">
        <is>
          <t>黄土（東側斜面）</t>
        </is>
      </c>
      <c r="C42" s="3" t="inlineStr">
        <is>
          <t>2376</t>
        </is>
      </c>
      <c r="D42" s="3" t="inlineStr">
        <is>
          <t>判読不可（「269㎡」の記載あり）</t>
        </is>
      </c>
      <c r="E42" s="3" t="inlineStr">
        <is>
          <t>付近に 岡崎好幸／岡崎悦也／岡崎久和／坂本／小池一… の記載（対応不確実）</t>
        </is>
      </c>
      <c r="F42" s="12" t="inlineStr">
        <is>
          <t>グレー：その他・対象外</t>
        </is>
      </c>
      <c r="G42" s="3" t="inlineStr">
        <is>
          <t>色塗り区域外または今回の施設計画で使用しない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3" t="n">
        <v>41</v>
      </c>
      <c r="B43" s="3" t="inlineStr">
        <is>
          <t>黄土（東側斜面）</t>
        </is>
      </c>
      <c r="C43" s="3" t="inlineStr">
        <is>
          <t>2377-2</t>
        </is>
      </c>
      <c r="D43" s="3" t="inlineStr">
        <is>
          <t>判読不可（「269㎡」の記載あり）</t>
        </is>
      </c>
      <c r="E43" s="3" t="inlineStr">
        <is>
          <t>付近に 岡崎好幸／岡崎悦也／岡崎久和／坂本／小池一… の記載（対応不確実）</t>
        </is>
      </c>
      <c r="F43" s="12" t="inlineStr">
        <is>
          <t>グレー：その他・対象外</t>
        </is>
      </c>
      <c r="G43" s="3" t="inlineStr">
        <is>
          <t>色塗り区域外または今回の施設計画で使用しない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</row>
    <row r="44">
      <c r="A44" s="3" t="n">
        <v>42</v>
      </c>
      <c r="B44" s="3" t="inlineStr">
        <is>
          <t>黄土（東側斜面）</t>
        </is>
      </c>
      <c r="C44" s="3" t="inlineStr">
        <is>
          <t>2377-3</t>
        </is>
      </c>
      <c r="D44" s="3" t="inlineStr">
        <is>
          <t>判読不可（「269㎡」の記載あり）</t>
        </is>
      </c>
      <c r="E44" s="3" t="inlineStr">
        <is>
          <t>付近に 岡崎好幸／岡崎悦也／岡崎久和／坂本／小池一… の記載（対応不確実）</t>
        </is>
      </c>
      <c r="F44" s="12" t="inlineStr">
        <is>
          <t>グレー：その他・対象外</t>
        </is>
      </c>
      <c r="G44" s="3" t="inlineStr">
        <is>
          <t>色塗り区域外または今回の施設計画で使用しない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3" t="n">
        <v>43</v>
      </c>
      <c r="B45" s="3" t="inlineStr">
        <is>
          <t>黄土（東側斜面）</t>
        </is>
      </c>
      <c r="C45" s="3" t="inlineStr">
        <is>
          <t>2377-4</t>
        </is>
      </c>
      <c r="D45" s="3" t="inlineStr">
        <is>
          <t>判読不可（「269㎡」の記載あり）</t>
        </is>
      </c>
      <c r="E45" s="3" t="inlineStr">
        <is>
          <t>付近に 岡崎好幸／岡崎悦也／岡崎久和／坂本／小池一… の記載（対応不確実）</t>
        </is>
      </c>
      <c r="F45" s="12" t="inlineStr">
        <is>
          <t>グレー：その他・対象外</t>
        </is>
      </c>
      <c r="G45" s="3" t="inlineStr">
        <is>
          <t>色塗り区域外または今回の施設計画で使用しない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</row>
    <row r="46">
      <c r="A46" s="3" t="n">
        <v>44</v>
      </c>
      <c r="B46" s="3" t="inlineStr">
        <is>
          <t>白（東側・色なし）</t>
        </is>
      </c>
      <c r="C46" s="3" t="inlineStr">
        <is>
          <t>2365</t>
        </is>
      </c>
      <c r="D46" s="3" t="inlineStr">
        <is>
          <t>―</t>
        </is>
      </c>
      <c r="E46" s="3" t="inlineStr"/>
      <c r="F46" s="12" t="inlineStr">
        <is>
          <t>グレー：その他・対象外</t>
        </is>
      </c>
      <c r="G46" s="3" t="inlineStr">
        <is>
          <t>色塗り区域外または今回の施設計画で使用しない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3" t="n">
        <v>45</v>
      </c>
      <c r="B47" s="3" t="inlineStr">
        <is>
          <t>白（県道西）</t>
        </is>
      </c>
      <c r="C47" s="3" t="inlineStr">
        <is>
          <t>2357-1</t>
        </is>
      </c>
      <c r="D47" s="3" t="inlineStr">
        <is>
          <t>―</t>
        </is>
      </c>
      <c r="E47" s="3" t="inlineStr">
        <is>
          <t>岡崎久和 樅ヶ段2357-1</t>
        </is>
      </c>
      <c r="F47" s="12" t="inlineStr">
        <is>
          <t>グレー：その他・対象外</t>
        </is>
      </c>
      <c r="G47" s="3" t="inlineStr">
        <is>
          <t>色塗り区域外または今回の施設計画で使用しない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</row>
    <row r="48">
      <c r="A48" s="3" t="n">
        <v>46</v>
      </c>
      <c r="B48" s="3" t="inlineStr">
        <is>
          <t>白（県道西）</t>
        </is>
      </c>
      <c r="C48" s="3" t="inlineStr">
        <is>
          <t>2357-4</t>
        </is>
      </c>
      <c r="D48" s="3" t="inlineStr">
        <is>
          <t>―</t>
        </is>
      </c>
      <c r="E48" s="3" t="inlineStr">
        <is>
          <t>兵庫県 樅ヶ段2357-4</t>
        </is>
      </c>
      <c r="F48" s="12" t="inlineStr">
        <is>
          <t>グレー：その他・対象外</t>
        </is>
      </c>
      <c r="G48" s="3" t="inlineStr">
        <is>
          <t>色塗り区域外または今回の施設計画で使用しない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3" t="n">
        <v>47</v>
      </c>
      <c r="B49" s="3" t="inlineStr">
        <is>
          <t>白（県道西）</t>
        </is>
      </c>
      <c r="C49" s="3" t="inlineStr">
        <is>
          <t>2358-1</t>
        </is>
      </c>
      <c r="D49" s="3" t="inlineStr">
        <is>
          <t>―</t>
        </is>
      </c>
      <c r="E49" s="3" t="inlineStr">
        <is>
          <t>焼山澄敏 樅ヶ段2358-1</t>
        </is>
      </c>
      <c r="F49" s="12" t="inlineStr">
        <is>
          <t>グレー：その他・対象外</t>
        </is>
      </c>
      <c r="G49" s="3" t="inlineStr">
        <is>
          <t>色塗り区域外または今回の施設計画で使用しない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</row>
    <row r="50">
      <c r="A50" s="3" t="n">
        <v>48</v>
      </c>
      <c r="B50" s="3" t="inlineStr">
        <is>
          <t>白（県道西）</t>
        </is>
      </c>
      <c r="C50" s="3" t="inlineStr">
        <is>
          <t>2358-3</t>
        </is>
      </c>
      <c r="D50" s="3" t="inlineStr">
        <is>
          <t>―</t>
        </is>
      </c>
      <c r="E50" s="3" t="inlineStr">
        <is>
          <t>焼山澄敏 樅ヶ段2358-3</t>
        </is>
      </c>
      <c r="F50" s="12" t="inlineStr">
        <is>
          <t>グレー：その他・対象外</t>
        </is>
      </c>
      <c r="G50" s="3" t="inlineStr">
        <is>
          <t>色塗り区域外または今回の施設計画で使用しない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3" t="n">
        <v>49</v>
      </c>
      <c r="B51" s="3" t="inlineStr">
        <is>
          <t>白（県道西）</t>
        </is>
      </c>
      <c r="C51" s="3" t="inlineStr">
        <is>
          <t>2370-1</t>
        </is>
      </c>
      <c r="D51" s="3" t="inlineStr">
        <is>
          <t>―</t>
        </is>
      </c>
      <c r="E51" s="3" t="inlineStr">
        <is>
          <t>丸山圭司 樅ヶ段2370-1</t>
        </is>
      </c>
      <c r="F51" s="12" t="inlineStr">
        <is>
          <t>グレー：その他・対象外</t>
        </is>
      </c>
      <c r="G51" s="3" t="inlineStr">
        <is>
          <t>色塗り区域外または今回の施設計画で使用しない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</row>
    <row r="52">
      <c r="A52" s="3" t="n">
        <v>50</v>
      </c>
      <c r="B52" s="3" t="inlineStr">
        <is>
          <t>白（県道西）</t>
        </is>
      </c>
      <c r="C52" s="3" t="inlineStr">
        <is>
          <t>2370-2</t>
        </is>
      </c>
      <c r="D52" s="3" t="inlineStr">
        <is>
          <t>―</t>
        </is>
      </c>
      <c r="E52" s="3" t="inlineStr"/>
      <c r="F52" s="12" t="inlineStr">
        <is>
          <t>グレー：その他・対象外</t>
        </is>
      </c>
      <c r="G52" s="3" t="inlineStr">
        <is>
          <t>色塗り区域外または今回の施設計画で使用しない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3" t="n">
        <v>51</v>
      </c>
      <c r="B53" s="3" t="inlineStr">
        <is>
          <t>白（県道西）</t>
        </is>
      </c>
      <c r="C53" s="3" t="inlineStr">
        <is>
          <t>2370-4</t>
        </is>
      </c>
      <c r="D53" s="3" t="inlineStr">
        <is>
          <t>―</t>
        </is>
      </c>
      <c r="E53" s="3" t="inlineStr"/>
      <c r="F53" s="12" t="inlineStr">
        <is>
          <t>グレー：その他・対象外</t>
        </is>
      </c>
      <c r="G53" s="3" t="inlineStr">
        <is>
          <t>色塗り区域外または今回の施設計画で使用しない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</row>
    <row r="54">
      <c r="A54" s="3" t="n">
        <v>52</v>
      </c>
      <c r="B54" s="3" t="inlineStr">
        <is>
          <t>白（県道西）</t>
        </is>
      </c>
      <c r="C54" s="3" t="inlineStr">
        <is>
          <t>2370-5</t>
        </is>
      </c>
      <c r="D54" s="3" t="inlineStr">
        <is>
          <t>―</t>
        </is>
      </c>
      <c r="E54" s="3" t="inlineStr"/>
      <c r="F54" s="12" t="inlineStr">
        <is>
          <t>グレー：その他・対象外</t>
        </is>
      </c>
      <c r="G54" s="3" t="inlineStr">
        <is>
          <t>色塗り区域外または今回の施設計画で使用しない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</row>
    <row r="55">
      <c r="A55" s="3" t="n">
        <v>53</v>
      </c>
      <c r="B55" s="3" t="inlineStr">
        <is>
          <t>白（県道西）</t>
        </is>
      </c>
      <c r="C55" s="3" t="inlineStr">
        <is>
          <t>2370-6</t>
        </is>
      </c>
      <c r="D55" s="3" t="inlineStr">
        <is>
          <t>―</t>
        </is>
      </c>
      <c r="E55" s="3" t="inlineStr"/>
      <c r="F55" s="12" t="inlineStr">
        <is>
          <t>グレー：その他・対象外</t>
        </is>
      </c>
      <c r="G55" s="3" t="inlineStr">
        <is>
          <t>色塗り区域外または今回の施設計画で使用しない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</row>
    <row r="56">
      <c r="A56" s="3" t="n">
        <v>54</v>
      </c>
      <c r="B56" s="3" t="inlineStr">
        <is>
          <t>白（県道西）</t>
        </is>
      </c>
      <c r="C56" s="3" t="inlineStr">
        <is>
          <t>2371-1</t>
        </is>
      </c>
      <c r="D56" s="3" t="inlineStr">
        <is>
          <t>―</t>
        </is>
      </c>
      <c r="E56" s="3" t="inlineStr"/>
      <c r="F56" s="12" t="inlineStr">
        <is>
          <t>グレー：その他・対象外</t>
        </is>
      </c>
      <c r="G56" s="3" t="inlineStr">
        <is>
          <t>色塗り区域外または今回の施設計画で使用しない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3" t="n">
        <v>55</v>
      </c>
      <c r="B57" s="3" t="inlineStr">
        <is>
          <t>白（県道西）</t>
        </is>
      </c>
      <c r="C57" s="3" t="inlineStr">
        <is>
          <t>2371-2</t>
        </is>
      </c>
      <c r="D57" s="3" t="inlineStr">
        <is>
          <t>―</t>
        </is>
      </c>
      <c r="E57" s="3" t="inlineStr"/>
      <c r="F57" s="12" t="inlineStr">
        <is>
          <t>グレー：その他・対象外</t>
        </is>
      </c>
      <c r="G57" s="3" t="inlineStr">
        <is>
          <t>色塗り区域外または今回の施設計画で使用しない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</row>
    <row r="58">
      <c r="A58" s="3" t="n">
        <v>56</v>
      </c>
      <c r="B58" s="3" t="inlineStr">
        <is>
          <t>白（県道西）</t>
        </is>
      </c>
      <c r="C58" s="3" t="inlineStr">
        <is>
          <t>2369-2</t>
        </is>
      </c>
      <c r="D58" s="3" t="inlineStr">
        <is>
          <t>―</t>
        </is>
      </c>
      <c r="E58" s="3" t="inlineStr">
        <is>
          <t>（2371-2付近に「2369-2」の記載）</t>
        </is>
      </c>
      <c r="F58" s="12" t="inlineStr">
        <is>
          <t>グレー：その他・対象外</t>
        </is>
      </c>
      <c r="G58" s="3" t="inlineStr">
        <is>
          <t>色塗り区域外または今回の施設計画で使用しない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</row>
    <row r="59">
      <c r="A59" s="3" t="n">
        <v>57</v>
      </c>
      <c r="B59" s="3" t="inlineStr">
        <is>
          <t>橙（県道西）</t>
        </is>
      </c>
      <c r="C59" s="3" t="inlineStr">
        <is>
          <t>2370-3</t>
        </is>
      </c>
      <c r="D59" s="3" t="inlineStr">
        <is>
          <t>「330㎡」とみられる記載</t>
        </is>
      </c>
      <c r="E59" s="3" t="inlineStr">
        <is>
          <t>樅ヶ段2370-3（氏名判読不可）</t>
        </is>
      </c>
      <c r="F59" s="12" t="inlineStr">
        <is>
          <t>グレー：その他・対象外</t>
        </is>
      </c>
      <c r="G59" s="3" t="inlineStr">
        <is>
          <t>色塗り区域外または今回の施設計画で使用しない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</row>
    <row r="61">
      <c r="H61" s="13" t="inlineStr">
        <is>
          <t>登記面積 合計</t>
        </is>
      </c>
      <c r="I61">
        <f>SUM(I3:I59)</f>
        <v/>
      </c>
    </row>
    <row r="62">
      <c r="H62" s="13" t="inlineStr">
        <is>
          <t>うち取得対象</t>
        </is>
      </c>
      <c r="I62">
        <f>SUMIF(K3:K59,"対象",I3:I59)</f>
        <v/>
      </c>
    </row>
  </sheetData>
  <autoFilter ref="A2:N59"/>
  <dataValidations count="3">
    <dataValidation sqref="K3:K59" showDropDown="0" showInputMessage="0" showErrorMessage="0" allowBlank="1" type="list">
      <formula1>"対象,対象外,検討中"</formula1>
    </dataValidation>
    <dataValidation sqref="L3:L59" showDropDown="0" showInputMessage="0" showErrorMessage="0" allowBlank="1" type="list">
      <formula1>"購入,賃借,使用貸借,未定"</formula1>
    </dataValidation>
    <dataValidation sqref="M3:M59" showDropDown="0" showInputMessage="0" showErrorMessage="0" allowBlank="1" type="list">
      <formula1>"未接触,打診済,前向き,条件交渉中,合意,不可,売却しない意向"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9" customWidth="1" min="3" max="3"/>
    <col width="18" customWidth="1" min="4" max="4"/>
    <col width="46" customWidth="1" min="5" max="5"/>
  </cols>
  <sheetData>
    <row r="1">
      <c r="A1" s="14" t="inlineStr">
        <is>
          <t>収支検討シート（入力用）　※数値は未入力。見積・実績が揃い次第、黄色欄に入力すると自動計算</t>
        </is>
      </c>
    </row>
    <row r="3">
      <c r="A3" s="15" t="inlineStr">
        <is>
          <t>区分</t>
        </is>
      </c>
      <c r="B3" s="15" t="inlineStr">
        <is>
          <t>項目</t>
        </is>
      </c>
      <c r="C3" s="15" t="inlineStr">
        <is>
          <t>単位</t>
        </is>
      </c>
      <c r="D3" s="15" t="inlineStr">
        <is>
          <t>入力値</t>
        </is>
      </c>
      <c r="E3" s="15" t="inlineStr">
        <is>
          <t>備考</t>
        </is>
      </c>
    </row>
    <row r="4">
      <c r="A4" s="16" t="inlineStr">
        <is>
          <t>前提</t>
        </is>
      </c>
      <c r="B4" s="16" t="inlineStr">
        <is>
          <t>年間チップ販売量</t>
        </is>
      </c>
      <c r="C4" s="16" t="inlineStr">
        <is>
          <t>t/年</t>
        </is>
      </c>
      <c r="D4" s="17" t="n"/>
      <c r="E4" s="16" t="inlineStr"/>
    </row>
    <row r="5">
      <c r="A5" s="16" t="inlineStr">
        <is>
          <t>前提</t>
        </is>
      </c>
      <c r="B5" s="16" t="inlineStr">
        <is>
          <t>チップ販売単価</t>
        </is>
      </c>
      <c r="C5" s="16" t="inlineStr">
        <is>
          <t>円/t</t>
        </is>
      </c>
      <c r="D5" s="17" t="n"/>
      <c r="E5" s="16" t="inlineStr"/>
    </row>
    <row r="6">
      <c r="A6" s="16" t="inlineStr">
        <is>
          <t>前提</t>
        </is>
      </c>
      <c r="B6" s="16" t="inlineStr">
        <is>
          <t>原料調達単価（チップ1t当たり換算）</t>
        </is>
      </c>
      <c r="C6" s="16" t="inlineStr">
        <is>
          <t>円/t</t>
        </is>
      </c>
      <c r="D6" s="17" t="n"/>
      <c r="E6" s="16" t="inlineStr"/>
    </row>
    <row r="7">
      <c r="A7" s="16" t="inlineStr">
        <is>
          <t>前提</t>
        </is>
      </c>
      <c r="B7" s="16" t="inlineStr">
        <is>
          <t>変動加工費（燃料・消耗品・運搬 1t当たり）</t>
        </is>
      </c>
      <c r="C7" s="16" t="inlineStr">
        <is>
          <t>円/t</t>
        </is>
      </c>
      <c r="D7" s="17" t="n"/>
      <c r="E7" s="16" t="inlineStr"/>
    </row>
    <row r="8">
      <c r="A8" s="16" t="inlineStr">
        <is>
          <t>固定費</t>
        </is>
      </c>
      <c r="B8" s="16" t="inlineStr">
        <is>
          <t>人件費</t>
        </is>
      </c>
      <c r="C8" s="16" t="inlineStr">
        <is>
          <t>円/年</t>
        </is>
      </c>
      <c r="D8" s="17" t="n"/>
      <c r="E8" s="16" t="inlineStr"/>
    </row>
    <row r="9">
      <c r="A9" s="16" t="inlineStr">
        <is>
          <t>固定費</t>
        </is>
      </c>
      <c r="B9" s="16" t="inlineStr">
        <is>
          <t>土地賃借料（借地の場合）</t>
        </is>
      </c>
      <c r="C9" s="16" t="inlineStr">
        <is>
          <t>円/年</t>
        </is>
      </c>
      <c r="D9" s="17" t="n"/>
      <c r="E9" s="16" t="inlineStr"/>
    </row>
    <row r="10">
      <c r="A10" s="16" t="inlineStr">
        <is>
          <t>固定費</t>
        </is>
      </c>
      <c r="B10" s="16" t="inlineStr">
        <is>
          <t>保険・修繕・その他固定費</t>
        </is>
      </c>
      <c r="C10" s="16" t="inlineStr">
        <is>
          <t>円/年</t>
        </is>
      </c>
      <c r="D10" s="17" t="n"/>
      <c r="E10" s="16" t="inlineStr"/>
    </row>
    <row r="11">
      <c r="A11" s="16" t="inlineStr">
        <is>
          <t>初期投資</t>
        </is>
      </c>
      <c r="B11" s="16" t="inlineStr">
        <is>
          <t>土地取得費</t>
        </is>
      </c>
      <c r="C11" s="16" t="inlineStr">
        <is>
          <t>円</t>
        </is>
      </c>
      <c r="D11" s="17" t="n"/>
      <c r="E11" s="16" t="inlineStr"/>
    </row>
    <row r="12">
      <c r="A12" s="16" t="inlineStr">
        <is>
          <t>初期投資</t>
        </is>
      </c>
      <c r="B12" s="16" t="inlineStr">
        <is>
          <t>造成・舗装・排水</t>
        </is>
      </c>
      <c r="C12" s="16" t="inlineStr">
        <is>
          <t>円</t>
        </is>
      </c>
      <c r="D12" s="17" t="n"/>
      <c r="E12" s="16" t="inlineStr"/>
    </row>
    <row r="13">
      <c r="A13" s="16" t="inlineStr">
        <is>
          <t>初期投資</t>
        </is>
      </c>
      <c r="B13" s="16" t="inlineStr">
        <is>
          <t>破砕機・重機</t>
        </is>
      </c>
      <c r="C13" s="16" t="inlineStr">
        <is>
          <t>円</t>
        </is>
      </c>
      <c r="D13" s="17" t="n"/>
      <c r="E13" s="16" t="inlineStr"/>
    </row>
    <row r="14">
      <c r="A14" s="16" t="inlineStr">
        <is>
          <t>初期投資</t>
        </is>
      </c>
      <c r="B14" s="16" t="inlineStr">
        <is>
          <t>建屋（チップ庫・事務所）</t>
        </is>
      </c>
      <c r="C14" s="16" t="inlineStr">
        <is>
          <t>円</t>
        </is>
      </c>
      <c r="D14" s="17" t="n"/>
      <c r="E14" s="16" t="inlineStr"/>
    </row>
    <row r="15">
      <c r="A15" s="16" t="inlineStr">
        <is>
          <t>初期投資</t>
        </is>
      </c>
      <c r="B15" s="16" t="inlineStr">
        <is>
          <t>許認可・測量・設計</t>
        </is>
      </c>
      <c r="C15" s="16" t="inlineStr">
        <is>
          <t>円</t>
        </is>
      </c>
      <c r="D15" s="17" t="n"/>
      <c r="E15" s="16" t="inlineStr"/>
    </row>
    <row r="16">
      <c r="A16" s="16" t="inlineStr">
        <is>
          <t>初期投資</t>
        </is>
      </c>
      <c r="B16" s="16" t="inlineStr">
        <is>
          <t>補助金（控除）</t>
        </is>
      </c>
      <c r="C16" s="16" t="inlineStr">
        <is>
          <t>円</t>
        </is>
      </c>
      <c r="D16" s="17" t="n"/>
      <c r="E16" s="16" t="inlineStr"/>
    </row>
    <row r="17">
      <c r="A17" s="16" t="inlineStr">
        <is>
          <t>初期投資</t>
        </is>
      </c>
      <c r="B17" s="16" t="inlineStr">
        <is>
          <t>償却年数（平均）</t>
        </is>
      </c>
      <c r="C17" s="16" t="inlineStr">
        <is>
          <t>年</t>
        </is>
      </c>
      <c r="D17" s="17" t="n"/>
      <c r="E17" s="16" t="inlineStr"/>
    </row>
    <row r="19">
      <c r="A19" s="15" t="inlineStr">
        <is>
          <t>計算結果</t>
        </is>
      </c>
      <c r="B19" s="15" t="inlineStr">
        <is>
          <t>項目</t>
        </is>
      </c>
      <c r="C19" s="15" t="inlineStr">
        <is>
          <t>単位</t>
        </is>
      </c>
      <c r="D19" s="15" t="inlineStr">
        <is>
          <t>値</t>
        </is>
      </c>
      <c r="E19" s="15" t="inlineStr">
        <is>
          <t>計算式の説明</t>
        </is>
      </c>
    </row>
    <row r="20">
      <c r="A20" s="16" t="inlineStr"/>
      <c r="B20" s="16" t="inlineStr">
        <is>
          <t>1t当たり限界利益</t>
        </is>
      </c>
      <c r="C20" s="16" t="inlineStr">
        <is>
          <t>円/t</t>
        </is>
      </c>
      <c r="D20" s="18">
        <f>IF(D5="","",D5-D6-D7)</f>
        <v/>
      </c>
      <c r="E20" s="16" t="inlineStr">
        <is>
          <t>販売単価−原料単価−変動加工費</t>
        </is>
      </c>
    </row>
    <row r="21">
      <c r="A21" s="16" t="inlineStr"/>
      <c r="B21" s="16" t="inlineStr">
        <is>
          <t>年間粗利（限界利益）</t>
        </is>
      </c>
      <c r="C21" s="16" t="inlineStr">
        <is>
          <t>円/年</t>
        </is>
      </c>
      <c r="D21" s="18">
        <f>IF(OR(D4="",D20=""),"",D4*D20)</f>
        <v/>
      </c>
      <c r="E21" s="16" t="inlineStr">
        <is>
          <t>販売量×1t当たり限界利益</t>
        </is>
      </c>
    </row>
    <row r="22">
      <c r="A22" s="16" t="inlineStr"/>
      <c r="B22" s="16" t="inlineStr">
        <is>
          <t>年間固定費（償却除く）</t>
        </is>
      </c>
      <c r="C22" s="16" t="inlineStr">
        <is>
          <t>円/年</t>
        </is>
      </c>
      <c r="D22" s="18">
        <f>SUM(D8:D10)</f>
        <v/>
      </c>
      <c r="E22" s="16" t="inlineStr"/>
    </row>
    <row r="23">
      <c r="A23" s="16" t="inlineStr"/>
      <c r="B23" s="16" t="inlineStr">
        <is>
          <t>初期投資合計（補助金控除後）</t>
        </is>
      </c>
      <c r="C23" s="16" t="inlineStr">
        <is>
          <t>円</t>
        </is>
      </c>
      <c r="D23" s="18">
        <f>SUM(D11:D15)-D16</f>
        <v/>
      </c>
      <c r="E23" s="16" t="inlineStr">
        <is>
          <t>土地＋造成＋機械＋建屋＋許認可−補助金</t>
        </is>
      </c>
    </row>
    <row r="24">
      <c r="A24" s="16" t="inlineStr"/>
      <c r="B24" s="16" t="inlineStr">
        <is>
          <t>年間減価償却費（概算）</t>
        </is>
      </c>
      <c r="C24" s="16" t="inlineStr">
        <is>
          <t>円/年</t>
        </is>
      </c>
      <c r="D24" s="18">
        <f>IF(OR(D17="",D17=0),"",(D14+D15+D12+D13-D16)/D17)</f>
        <v/>
      </c>
      <c r="E24" s="16" t="inlineStr">
        <is>
          <t>土地を除く投資÷償却年数（簡易）</t>
        </is>
      </c>
    </row>
    <row r="25">
      <c r="A25" s="16" t="inlineStr"/>
      <c r="B25" s="16" t="inlineStr">
        <is>
          <t>年間営業利益（概算）</t>
        </is>
      </c>
      <c r="C25" s="16" t="inlineStr">
        <is>
          <t>円/年</t>
        </is>
      </c>
      <c r="D25" s="18">
        <f>IF(D21="","",D21-D22-IF(D24="",0,D24))</f>
        <v/>
      </c>
      <c r="E25" s="16" t="inlineStr">
        <is>
          <t>粗利−固定費−償却</t>
        </is>
      </c>
    </row>
    <row r="26">
      <c r="A26" s="16" t="inlineStr"/>
      <c r="B26" s="16" t="inlineStr">
        <is>
          <t>損益分岐販売量</t>
        </is>
      </c>
      <c r="C26" s="16" t="inlineStr">
        <is>
          <t>t/年</t>
        </is>
      </c>
      <c r="D26" s="18">
        <f>IF(OR(D20="",D20&lt;=0),"",(D22+IF(D24="",0,D24))/D20)</f>
        <v/>
      </c>
      <c r="E26" s="16" t="inlineStr">
        <is>
          <t>（固定費＋償却）÷1t当たり限界利益</t>
        </is>
      </c>
    </row>
    <row r="27">
      <c r="A27" s="16" t="inlineStr"/>
      <c r="B27" s="16" t="inlineStr">
        <is>
          <t>投資回収年数（簡易）</t>
        </is>
      </c>
      <c r="C27" s="16" t="inlineStr">
        <is>
          <t>年</t>
        </is>
      </c>
      <c r="D27" s="18">
        <f>IF(D21="","",IF(D21-D22&lt;=0,"",D23/(D21-D22)))</f>
        <v/>
      </c>
      <c r="E27" s="16" t="inlineStr">
        <is>
          <t>初期投資÷（粗利−固定費）＝償却前利益ベース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12" customWidth="1" min="4" max="4"/>
    <col width="30" customWidth="1" min="5" max="5"/>
    <col width="10" customWidth="1" min="6" max="6"/>
  </cols>
  <sheetData>
    <row r="1">
      <c r="A1" s="1" t="inlineStr">
        <is>
          <t>撤退条件・Go/No-Go判断基準</t>
        </is>
      </c>
    </row>
    <row r="2">
      <c r="A2" s="2" t="inlineStr">
        <is>
          <t>No</t>
        </is>
      </c>
      <c r="B2" s="2" t="inlineStr">
        <is>
          <t>判断項目</t>
        </is>
      </c>
      <c r="C2" s="2" t="inlineStr">
        <is>
          <t>撤退（No-Go）となる条件</t>
        </is>
      </c>
      <c r="D2" s="2" t="inlineStr">
        <is>
          <t>判断時期</t>
        </is>
      </c>
      <c r="E2" s="2" t="inlineStr">
        <is>
          <t>状況</t>
        </is>
      </c>
      <c r="F2" s="2" t="inlineStr">
        <is>
          <t>判定</t>
        </is>
      </c>
    </row>
    <row r="3">
      <c r="A3" s="3" t="n">
        <v>1</v>
      </c>
      <c r="B3" s="3" t="inlineStr">
        <is>
          <t>農地転用・農振</t>
        </is>
      </c>
      <c r="C3" s="3" t="inlineStr">
        <is>
          <t>農振除外・転用許可の見込みが立たない</t>
        </is>
      </c>
      <c r="D3" s="3" t="inlineStr">
        <is>
          <t>STEP1</t>
        </is>
      </c>
      <c r="E3" s="4" t="inlineStr"/>
      <c r="F3" s="4" t="inlineStr"/>
    </row>
    <row r="4">
      <c r="A4" s="3" t="n">
        <v>2</v>
      </c>
      <c r="B4" s="3" t="inlineStr">
        <is>
          <t>災害区域</t>
        </is>
      </c>
      <c r="C4" s="3" t="inlineStr">
        <is>
          <t>特別警戒区域・浸水想定が作業エリア主要部に及ぶ</t>
        </is>
      </c>
      <c r="D4" s="3" t="inlineStr">
        <is>
          <t>STEP1</t>
        </is>
      </c>
      <c r="E4" s="4" t="inlineStr"/>
      <c r="F4" s="4" t="inlineStr"/>
    </row>
    <row r="5">
      <c r="A5" s="3" t="n">
        <v>3</v>
      </c>
      <c r="B5" s="3" t="inlineStr">
        <is>
          <t>所有者合意</t>
        </is>
      </c>
      <c r="C5" s="3" t="inlineStr">
        <is>
          <t>主要区画の所有者の同意が得られない／価格が上限超</t>
        </is>
      </c>
      <c r="D5" s="3" t="inlineStr">
        <is>
          <t>STEP1〜2</t>
        </is>
      </c>
      <c r="E5" s="4" t="inlineStr"/>
      <c r="F5" s="4" t="inlineStr"/>
    </row>
    <row r="6">
      <c r="A6" s="3" t="n">
        <v>4</v>
      </c>
      <c r="B6" s="3" t="inlineStr">
        <is>
          <t>道路</t>
        </is>
      </c>
      <c r="C6" s="3" t="inlineStr">
        <is>
          <t>県道への大型車乗入れが認められない</t>
        </is>
      </c>
      <c r="D6" s="3" t="inlineStr">
        <is>
          <t>STEP1</t>
        </is>
      </c>
      <c r="E6" s="4" t="inlineStr"/>
      <c r="F6" s="4" t="inlineStr"/>
    </row>
    <row r="7">
      <c r="A7" s="3" t="n">
        <v>5</v>
      </c>
      <c r="B7" s="3" t="inlineStr">
        <is>
          <t>収支</t>
        </is>
      </c>
      <c r="C7" s="3" t="inlineStr">
        <is>
          <t>回収年数が社内基準を超える（基準：　年）</t>
        </is>
      </c>
      <c r="D7" s="3" t="inlineStr">
        <is>
          <t>STEP2</t>
        </is>
      </c>
      <c r="E7" s="4" t="inlineStr"/>
      <c r="F7" s="4" t="inlineStr"/>
    </row>
    <row r="8">
      <c r="A8" s="3" t="n">
        <v>6</v>
      </c>
      <c r="B8" s="3" t="inlineStr">
        <is>
          <t>近隣</t>
        </is>
      </c>
      <c r="C8" s="3" t="inlineStr">
        <is>
          <t>近隣の理解が得られず操業制約が事業性を損なう</t>
        </is>
      </c>
      <c r="D8" s="3" t="inlineStr">
        <is>
          <t>STEP2〜3</t>
        </is>
      </c>
      <c r="E8" s="4" t="inlineStr"/>
      <c r="F8" s="4" t="inlineStr"/>
    </row>
    <row r="9">
      <c r="A9" s="3" t="n">
        <v>7</v>
      </c>
      <c r="B9" s="3" t="inlineStr">
        <is>
          <t>進入路（第2版）</t>
        </is>
      </c>
      <c r="C9" s="3" t="inlineStr">
        <is>
          <t>北段・2369-4のいずれからも県道への進入路を確保できない</t>
        </is>
      </c>
      <c r="D9" s="3" t="inlineStr">
        <is>
          <t>STEP1</t>
        </is>
      </c>
      <c r="E9" s="4" t="inlineStr"/>
      <c r="F9" s="4" t="inlineStr"/>
    </row>
    <row r="10">
      <c r="A10" s="3" t="n">
        <v>8</v>
      </c>
      <c r="B10" s="3" t="inlineStr">
        <is>
          <t>取得範囲（第2版）</t>
        </is>
      </c>
      <c r="C10" s="3" t="inlineStr">
        <is>
          <t>黄色区域の大半が坂本さん名義と判明し、取得可能な土地で施設が成り立たない</t>
        </is>
      </c>
      <c r="D10" s="3" t="inlineStr">
        <is>
          <t>STEP0〜1</t>
        </is>
      </c>
      <c r="E10" s="4" t="inlineStr"/>
      <c r="F10" s="4" t="inlineStr"/>
    </row>
    <row r="11">
      <c r="A11" s="3" t="n">
        <v>9</v>
      </c>
      <c r="B11" s="3" t="inlineStr">
        <is>
          <t>境界（第2版）</t>
        </is>
      </c>
      <c r="C11" s="3" t="inlineStr">
        <is>
          <t>境界確定に必要な隣接者の協力が得られない</t>
        </is>
      </c>
      <c r="D11" s="3" t="inlineStr">
        <is>
          <t>STEP2</t>
        </is>
      </c>
      <c r="E11" s="4" t="inlineStr"/>
      <c r="F11" s="4" t="inlineStr"/>
    </row>
  </sheetData>
  <autoFilter ref="A2:F8"/>
  <dataValidations count="1">
    <dataValidation sqref="F3:F11" showDropDown="0" showInputMessage="0" showErrorMessage="0" allowBlank="1" type="list">
      <formula1>"問題なし,要注意,撤退条件に該当"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2026-10-10T08:09:37Z</dcterms:created>
  <dcterms:modified xmlns:dcterms="http://purl.org/dc/terms/" xmlns:xsi="http://www.w3.org/2001/XMLSchema-instance" xsi:type="dcterms:W3CDTF">2026-10-10T08:09:37Z</dcterms:modified>
</cp:coreProperties>
</file>